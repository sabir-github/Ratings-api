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ile\Downloads\"/>
    </mc:Choice>
  </mc:AlternateContent>
  <xr:revisionPtr revIDLastSave="0" documentId="13_ncr:1_{D323F3CB-7645-4C9E-9EF5-ECB204CA1357}" xr6:coauthVersionLast="47" xr6:coauthVersionMax="47" xr10:uidLastSave="{00000000-0000-0000-0000-000000000000}"/>
  <bookViews>
    <workbookView xWindow="-108" yWindow="-108" windowWidth="23256" windowHeight="12456" firstSheet="1" activeTab="5" xr2:uid="{B8317E01-45DD-4F75-87D9-B695A3C3DCA7}"/>
  </bookViews>
  <sheets>
    <sheet name="Configuration" sheetId="10" r:id="rId1"/>
    <sheet name="BASE_RATE" sheetId="11" r:id="rId2"/>
    <sheet name="Program_Factor" sheetId="9" r:id="rId3"/>
    <sheet name="Credit_Score" sheetId="8" r:id="rId4"/>
    <sheet name="State_Factor" sheetId="7" r:id="rId5"/>
    <sheet name="Product Algorithm" sheetId="13" r:id="rId6"/>
  </sheets>
  <externalReferences>
    <externalReference r:id="rId7"/>
  </externalReferences>
  <definedNames>
    <definedName name="AOIBuildingRelativities">'[1]PropGL Optional Coverages'!$L$56:$M$64</definedName>
    <definedName name="AOIContentsRelativities">'[1]PropGL Optional Coverages'!$L$70:$M$78</definedName>
    <definedName name="BISublimit">'[1]PropGL Optional Coverages'!$B$71:$D$75</definedName>
    <definedName name="CountrywideECRAte">'[1]PropGL Base Rates'!#REF!</definedName>
    <definedName name="CountrywideFireRate">'[1]PropGL Base Rates'!$B$7</definedName>
    <definedName name="CountrywideLiabilityRate">'[1]PropGL Base Rates'!$B$8</definedName>
    <definedName name="creditscorecredittable">'[1]PropGL Optional Coverages'!$L$7:$M$11</definedName>
    <definedName name="DeductibleGroup">'[1]PropGL Relativities'!$J$42:$K$46</definedName>
    <definedName name="descriptionratetable">'[1]PropGL Base Rates'!$BK$218:$DJ$258</definedName>
    <definedName name="Earthquake">'[1]PropGL Optional Coverages'!$B$13:$C$17</definedName>
    <definedName name="ECBuildingConstructionGroupTabel" localSheetId="5">'[1]PropGL Relativities'!#REF!</definedName>
    <definedName name="ECBuildingConstructionGroupTabel">'[1]PropGL Relativities'!#REF!</definedName>
    <definedName name="ECBuildingConstructionGroupTable" localSheetId="5">'[1]PropGL Relativities'!#REF!</definedName>
    <definedName name="ECBuildingConstructionGroupTable">'[1]PropGL Relativities'!#REF!</definedName>
    <definedName name="ECConstructionGroupTabel" localSheetId="5">'[1]PropGL Relativities'!#REF!</definedName>
    <definedName name="ECConstructionGroupTabel">'[1]PropGL Relativities'!#REF!</definedName>
    <definedName name="ECConstructionGroupTable" localSheetId="5">'[1]PropGL Relativities'!#REF!</definedName>
    <definedName name="ECConstructionGroupTable">'[1]PropGL Relativities'!#REF!</definedName>
    <definedName name="ECContentsConstructionGroupTable" localSheetId="5">'[1]PropGL Relativities'!#REF!</definedName>
    <definedName name="ECContentsConstructionGroupTable">'[1]PropGL Relativities'!#REF!</definedName>
    <definedName name="ECContentsContructionGroupTable" localSheetId="5">'[1]PropGL Relativities'!#REF!</definedName>
    <definedName name="ECContentsContructionGroupTable">'[1]PropGL Relativities'!#REF!</definedName>
    <definedName name="ECTerritoryGroupTable" localSheetId="5">'[1]PropGL Base Rates'!#REF!</definedName>
    <definedName name="ECTerritoryGroupTable">'[1]PropGL Base Rates'!#REF!</definedName>
    <definedName name="employeebenefits">'[1]PropGL Optional Coverages'!$G$8:$I$11</definedName>
    <definedName name="FireConstructionGroupTable">'[1]PropGL Relativities'!$M$14:$N$18</definedName>
    <definedName name="FireProgramGroup">'[1]PropGL Relativities'!$M$29:$N$36</definedName>
    <definedName name="FireProtectionClassGroupTable">'[1]PropGL Relativities'!$M$22:$N$25</definedName>
    <definedName name="FireSprinklerGroup" localSheetId="5">'[1]PropGL Relativities'!#REF!</definedName>
    <definedName name="FireSprinklerGroup">'[1]PropGL Relativities'!#REF!</definedName>
    <definedName name="FireTerritoryGroupTable">'[1]PropGL Base Rates'!$B$24:$BA$63</definedName>
    <definedName name="hiredauto">'[1]PropGL Optional Coverages'!$G$33:$I$36</definedName>
    <definedName name="LiabilityHazardGradeRelativityTable">'[1]PropGL Relativities'!$J$23:$K$32</definedName>
    <definedName name="LiabilityHazardGradeTable">'[1]PropGL Relativities'!$F$9:$H$1022</definedName>
    <definedName name="LiabilityTerritoryGroupTable">'[1]PropGL Base Rates'!$B$67:$BA$106</definedName>
    <definedName name="liabincreasedlimitsgrouptable">'[1]PropGL Relativities'!$Q$22:$R$25</definedName>
    <definedName name="LiabLessorOccupancyGroup" localSheetId="5">'[1]PropGL Relativities'!#REF!</definedName>
    <definedName name="LiabLessorOccupancyGroup">'[1]PropGL Relativities'!#REF!</definedName>
    <definedName name="LiabLessorOccupancyRateGroup" localSheetId="5">'[1]PropGL Relativities'!#REF!</definedName>
    <definedName name="LiabLessorOccupancyRateGroup">'[1]PropGL Relativities'!#REF!</definedName>
    <definedName name="LiabOccupancyGroup">'[1]PropGL Relativities'!$Q$8:$R$15</definedName>
    <definedName name="propertydamagedeductible" localSheetId="5">'[1]PropGL Optional Coverages'!#REF!</definedName>
    <definedName name="propertydamagedeductible">'[1]PropGL Optional Coverages'!#REF!</definedName>
    <definedName name="PropertyHazardGradeRelativityTable">'[1]PropGL Relativities'!$J$9:$K$18</definedName>
    <definedName name="PropertyHazardGradeTable">'[1]PropGL Relativities'!$A$9:$C$1022</definedName>
    <definedName name="StateGroupTable">'[1]PropGL Base Rates'!$FO$8:$FP$58</definedName>
    <definedName name="StateRateGroupTable">'[1]PropGL Base Rates'!$B$15:$AZ$20</definedName>
    <definedName name="theftcredittable">'[1]PropGL Optional Coverages'!$L$16:$M$17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3" l="1"/>
  <c r="L79" i="13"/>
  <c r="L78" i="13"/>
  <c r="L77" i="13"/>
  <c r="L76" i="13"/>
  <c r="L75" i="13"/>
  <c r="L74" i="13"/>
  <c r="L73" i="13"/>
  <c r="M72" i="13"/>
  <c r="M73" i="13" s="1"/>
  <c r="M74" i="13" s="1"/>
  <c r="M75" i="13" s="1"/>
  <c r="L72" i="13"/>
  <c r="G37" i="13"/>
  <c r="G36" i="13"/>
  <c r="G35" i="13"/>
  <c r="P30" i="13"/>
  <c r="P31" i="13" s="1"/>
  <c r="P32" i="13" s="1"/>
  <c r="P33" i="13" s="1"/>
  <c r="G28" i="13"/>
  <c r="B27" i="13"/>
  <c r="G26" i="13"/>
  <c r="G19" i="13"/>
  <c r="E19" i="13"/>
  <c r="G18" i="13"/>
  <c r="E18" i="13"/>
  <c r="E17" i="13"/>
  <c r="G17" i="13" s="1"/>
  <c r="E16" i="13"/>
  <c r="G16" i="13" s="1"/>
  <c r="G21" i="13" s="1"/>
  <c r="G23" i="13" s="1"/>
  <c r="G15" i="13"/>
  <c r="E15" i="13"/>
  <c r="G14" i="13"/>
  <c r="E14" i="13"/>
  <c r="P11" i="13"/>
  <c r="Q11" i="13" s="1"/>
  <c r="G9" i="13"/>
  <c r="C44" i="13" l="1"/>
  <c r="B44" i="13"/>
  <c r="M76" i="13"/>
  <c r="M77" i="13" s="1"/>
  <c r="M78" i="13" s="1"/>
  <c r="M79" i="13" s="1"/>
  <c r="M80" i="13" s="1"/>
  <c r="G30" i="13"/>
  <c r="J39" i="13" s="1"/>
  <c r="P34" i="13"/>
  <c r="P35" i="13" s="1"/>
  <c r="P36" i="13" s="1"/>
  <c r="P37" i="13" s="1"/>
  <c r="P38" i="13" s="1"/>
  <c r="P12" i="13"/>
  <c r="P13" i="13" l="1"/>
  <c r="Q12" i="13"/>
  <c r="B61" i="13"/>
  <c r="Q13" i="13" l="1"/>
  <c r="P14" i="13"/>
  <c r="P15" i="13" l="1"/>
  <c r="Q14" i="13"/>
  <c r="C48" i="13"/>
  <c r="C47" i="13"/>
  <c r="B47" i="13"/>
  <c r="C46" i="13"/>
  <c r="C45" i="13"/>
  <c r="B46" i="13"/>
  <c r="B45" i="13"/>
  <c r="B48" i="13"/>
  <c r="P16" i="13" l="1"/>
  <c r="Q15" i="13"/>
  <c r="P17" i="13" l="1"/>
  <c r="Q16" i="13"/>
  <c r="Q17" i="13" l="1"/>
  <c r="P18" i="13"/>
  <c r="B49" i="13"/>
  <c r="C51" i="13"/>
  <c r="C50" i="13"/>
  <c r="C49" i="13"/>
  <c r="B51" i="13"/>
  <c r="B50" i="13"/>
  <c r="P19" i="13" l="1"/>
  <c r="Q18" i="13"/>
  <c r="Q19" i="13" l="1"/>
  <c r="C53" i="13"/>
  <c r="B52" i="13"/>
  <c r="B53" i="13"/>
  <c r="C52" i="13"/>
</calcChain>
</file>

<file path=xl/sharedStrings.xml><?xml version="1.0" encoding="utf-8"?>
<sst xmlns="http://schemas.openxmlformats.org/spreadsheetml/2006/main" count="337" uniqueCount="177">
  <si>
    <t>Program</t>
  </si>
  <si>
    <t>91 to 100</t>
  </si>
  <si>
    <t>Credit Score</t>
  </si>
  <si>
    <t>WY</t>
  </si>
  <si>
    <t>WV</t>
  </si>
  <si>
    <t>WI</t>
  </si>
  <si>
    <t>WA</t>
  </si>
  <si>
    <t>VT</t>
  </si>
  <si>
    <t>VA</t>
  </si>
  <si>
    <t>UT</t>
  </si>
  <si>
    <t>New Venture or N/A</t>
  </si>
  <si>
    <t>TX</t>
  </si>
  <si>
    <t>Below 30</t>
  </si>
  <si>
    <t>TN</t>
  </si>
  <si>
    <t>SD</t>
  </si>
  <si>
    <t>71 to 90</t>
  </si>
  <si>
    <t>SC</t>
  </si>
  <si>
    <t>31 to 70</t>
  </si>
  <si>
    <t>RI</t>
  </si>
  <si>
    <t>PR</t>
  </si>
  <si>
    <t>PA</t>
  </si>
  <si>
    <t>Wholesale</t>
  </si>
  <si>
    <t>OR</t>
  </si>
  <si>
    <t>Services</t>
  </si>
  <si>
    <t>OK</t>
  </si>
  <si>
    <t>Retail</t>
  </si>
  <si>
    <t>OH</t>
  </si>
  <si>
    <t>Offices</t>
  </si>
  <si>
    <t>NY</t>
  </si>
  <si>
    <t>High Tech</t>
  </si>
  <si>
    <t>NV</t>
  </si>
  <si>
    <t>NM</t>
  </si>
  <si>
    <t>NJ</t>
  </si>
  <si>
    <t>Table 10-Program Factors</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</si>
  <si>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</si>
  <si>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</si>
  <si>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</si>
  <si>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</si>
  <si>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</si>
  <si>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</si>
  <si>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</si>
  <si>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</si>
  <si>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</si>
  <si>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</si>
  <si>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</si>
  <si>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</si>
  <si>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</si>
  <si>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</si>
  <si>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</si>
  <si>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</si>
  <si>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</si>
  <si>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</si>
  <si>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</si>
  <si>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</si>
  <si>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</si>
  <si>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</si>
  <si>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</si>
  <si>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</si>
  <si>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</si>
  <si>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CO</t>
  </si>
  <si>
    <t>CA</t>
  </si>
  <si>
    <t>AZ</t>
  </si>
  <si>
    <t>AR</t>
  </si>
  <si>
    <t>AL</t>
  </si>
  <si>
    <t>AK</t>
  </si>
  <si>
    <t>State</t>
  </si>
  <si>
    <t xml:space="preserve">Table 1 </t>
  </si>
  <si>
    <t>Table Credit Score</t>
  </si>
  <si>
    <t xml:space="preserve">company          </t>
  </si>
  <si>
    <t xml:space="preserve">lob              </t>
  </si>
  <si>
    <t xml:space="preserve">state            </t>
  </si>
  <si>
    <t xml:space="preserve"> OH</t>
  </si>
  <si>
    <t xml:space="preserve">effective_date   </t>
  </si>
  <si>
    <t xml:space="preserve"> 2025-01-01</t>
  </si>
  <si>
    <t xml:space="preserve">algorithm_name   </t>
  </si>
  <si>
    <t xml:space="preserve"> BOP Premium Calc</t>
  </si>
  <si>
    <t xml:space="preserve">formula          </t>
  </si>
  <si>
    <t>STATE_FACTOR</t>
  </si>
  <si>
    <t>CREDIT_FACTOR</t>
  </si>
  <si>
    <t>Program_Factor</t>
  </si>
  <si>
    <t xml:space="preserve"> BASE_RATE * STATE_FACTOR * PROGRAM_FACTOR * CREDIT_FACTOR</t>
  </si>
  <si>
    <t>Limits</t>
  </si>
  <si>
    <t>BASE_RATE</t>
  </si>
  <si>
    <t xml:space="preserve">product          </t>
  </si>
  <si>
    <t xml:space="preserve">entity           </t>
  </si>
  <si>
    <t xml:space="preserve">plan_name        </t>
  </si>
  <si>
    <t xml:space="preserve">manual_name      </t>
  </si>
  <si>
    <t>VVR_DEMO_COMPANY</t>
  </si>
  <si>
    <t>Commercial Lines</t>
  </si>
  <si>
    <t>VVR_DEMO</t>
  </si>
  <si>
    <t>VVR_ENTITY_DEMO</t>
  </si>
  <si>
    <t>VVR Rating Plan 2025</t>
  </si>
  <si>
    <t>VVR Rating Manual 2025</t>
  </si>
  <si>
    <t>Div. 67 UMBRELLA RATING PLAN</t>
  </si>
  <si>
    <t>Base Premium For $1,000,000 Limit</t>
  </si>
  <si>
    <t>Base Premium for Million</t>
  </si>
  <si>
    <t>Constant Table</t>
  </si>
  <si>
    <t>A</t>
  </si>
  <si>
    <t>Selected</t>
  </si>
  <si>
    <t>Additional Locations</t>
  </si>
  <si>
    <t>Div 67</t>
  </si>
  <si>
    <t>Number</t>
  </si>
  <si>
    <t>Base Premium</t>
  </si>
  <si>
    <t>Input Additional Locations Here =====&gt;</t>
  </si>
  <si>
    <t>Base Premium for Addl Location</t>
  </si>
  <si>
    <t>B</t>
  </si>
  <si>
    <t xml:space="preserve">Table 4 - Increased Limits Factor </t>
  </si>
  <si>
    <t>Table 11- Distribution System ERC</t>
  </si>
  <si>
    <t>Input Number of Vehicles Below</t>
  </si>
  <si>
    <t>Relativities</t>
  </si>
  <si>
    <t>Number Of Vehicles</t>
  </si>
  <si>
    <t>Rate Per Vehicle</t>
  </si>
  <si>
    <t>Multi input, multi output v look table</t>
  </si>
  <si>
    <t>Type of Vehicle/Distance</t>
  </si>
  <si>
    <t>Local &amp; Medium Radius</t>
  </si>
  <si>
    <t>Long Distance Radius</t>
  </si>
  <si>
    <t>Private Passenger Type</t>
  </si>
  <si>
    <t>Light Truck or Van</t>
  </si>
  <si>
    <t>Medium Truck or Van</t>
  </si>
  <si>
    <t>Heavy</t>
  </si>
  <si>
    <t>Extra Heavy</t>
  </si>
  <si>
    <t>All Other</t>
  </si>
  <si>
    <t>Total Auto Base Premium======&gt;</t>
  </si>
  <si>
    <t>C.</t>
  </si>
  <si>
    <t>Table 5 - Self-Insured Retention</t>
  </si>
  <si>
    <t>Total Base Premium</t>
  </si>
  <si>
    <t>Expression</t>
  </si>
  <si>
    <t>A+B+C</t>
  </si>
  <si>
    <t>Zero</t>
  </si>
  <si>
    <t>State of Domicile</t>
  </si>
  <si>
    <t>Use drop down menu</t>
  </si>
  <si>
    <t>vlookup</t>
  </si>
  <si>
    <t>Table 2</t>
  </si>
  <si>
    <t>Hazard</t>
  </si>
  <si>
    <t>Proposed</t>
  </si>
  <si>
    <t>Grades</t>
  </si>
  <si>
    <t>Hazard Grade</t>
  </si>
  <si>
    <t>AIG BOP CREDITS/DEBITS</t>
  </si>
  <si>
    <t>1. Dist. System Credit</t>
  </si>
  <si>
    <t>Direct Marketing</t>
  </si>
  <si>
    <t>vlookup for distribution based on state; default 1 for agency</t>
  </si>
  <si>
    <t>2. Franchise/ Association Credit</t>
  </si>
  <si>
    <t>No</t>
  </si>
  <si>
    <t xml:space="preserve"> 3. Credit Score</t>
  </si>
  <si>
    <t>Modified Base Premkium</t>
  </si>
  <si>
    <t>limit</t>
  </si>
  <si>
    <t>deductble</t>
  </si>
  <si>
    <t>Self-Insured Retention</t>
  </si>
  <si>
    <t xml:space="preserve">Limit </t>
  </si>
  <si>
    <t xml:space="preserve">final </t>
  </si>
  <si>
    <t>Table 7 - Credit Score</t>
  </si>
  <si>
    <t>COVERAGE PART PURCHASED?</t>
  </si>
  <si>
    <t>Yes</t>
  </si>
  <si>
    <t>Selected:</t>
  </si>
  <si>
    <t>Limit:</t>
  </si>
  <si>
    <t>Deductible:</t>
  </si>
  <si>
    <t>Table 8 - Auto Factors (Local &amp; Medium)</t>
  </si>
  <si>
    <t>Charged Premium:</t>
  </si>
  <si>
    <t>a. Light Truck or Van</t>
  </si>
  <si>
    <t>b. PP Type</t>
  </si>
  <si>
    <t>c. Medium Truck or Van</t>
  </si>
  <si>
    <t>d. Heavy</t>
  </si>
  <si>
    <t>e. Extra Heavy</t>
  </si>
  <si>
    <t>f. All Other</t>
  </si>
  <si>
    <t>Table 9 - Auto Factors (Long Distance)</t>
  </si>
  <si>
    <t>Table 11 - Minimum Premium</t>
  </si>
  <si>
    <t>Agency</t>
  </si>
  <si>
    <t>Table 12- Account Credit</t>
  </si>
  <si>
    <t>1 Cov. Part</t>
  </si>
  <si>
    <t>2 Cov. Parts</t>
  </si>
  <si>
    <t>3 or more Cov. Parts</t>
  </si>
  <si>
    <t>Table 13- Franchise/Association Credit</t>
  </si>
  <si>
    <t>Table 14- Endorsements</t>
  </si>
  <si>
    <t>1. None</t>
  </si>
  <si>
    <t>2. Enhancement Endorsement</t>
  </si>
  <si>
    <t>3. Ext. Enhancement Endorsement</t>
  </si>
  <si>
    <t>4. Both Endorsements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</si>
</sst>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64" formatCode="_(* #,##0.00_);_(* \(#,##0.00\);_(* &quot;-&quot;??_);_(@_)"/>
    <numFmt numFmtId="165" formatCode="0.000"/>
    <numFmt numFmtId="166" formatCode="&quot;$&quot;#,##0_);[Red]\(&quot;$&quot;#,##0\)"/>
    <numFmt numFmtId="167" formatCode="&quot;$&quot;#,##0.00"/>
  </numFmts>
  <fonts count="25" x14ac:knownFonts="1">
    <font>
      <sz val="11"/>
      <color theme="1"/>
      <name val="Aptos Narrow"/>
      <family val="2"/>
      <scheme val="minor"/>
    </font>
    <font>
      <b/>
      <sz val="12"/>
      <name val="Arial"/>
      <family val="2"/>
    </font>
    <font>
      <b/>
      <sz val="10"/>
      <name val="Arial"/>
      <family val="2"/>
    </font>
    <font>
      <sz val="10"/>
      <name val="Arial"/>
    </font>
    <font>
      <sz val="10"/>
      <name val="Arial"/>
      <family val="2"/>
    </font>
    <font>
      <b/>
      <sz val="18"/>
      <name val="Arial"/>
      <family val="2"/>
    </font>
    <font>
      <u/>
      <sz val="10"/>
      <name val="Arial"/>
      <family val="2"/>
    </font>
    <font>
      <sz val="10"/>
      <color indexed="49"/>
      <name val="Arial"/>
      <family val="2"/>
    </font>
    <font>
      <sz val="12"/>
      <name val="Arial"/>
      <family val="2"/>
    </font>
    <font>
      <sz val="14"/>
      <name val="Arial"/>
      <family val="2"/>
    </font>
    <font>
      <b/>
      <sz val="10"/>
      <color indexed="10"/>
      <name val="Arial"/>
      <family val="2"/>
    </font>
    <font>
      <b/>
      <i/>
      <u/>
      <sz val="10"/>
      <color indexed="10"/>
      <name val="Arial"/>
      <family val="2"/>
    </font>
    <font>
      <b/>
      <i/>
      <u/>
      <sz val="10"/>
      <name val="Arial"/>
      <family val="2"/>
    </font>
    <font>
      <b/>
      <sz val="8"/>
      <name val="Arial"/>
      <family val="2"/>
    </font>
    <font>
      <b/>
      <sz val="8"/>
      <color indexed="10"/>
      <name val="Arial"/>
      <family val="2"/>
    </font>
    <font>
      <sz val="16"/>
      <name val="Arial"/>
      <family val="2"/>
    </font>
    <font>
      <b/>
      <sz val="14"/>
      <name val="Arial"/>
      <family val="2"/>
    </font>
    <font>
      <b/>
      <sz val="8"/>
      <color indexed="12"/>
      <name val="Arial"/>
      <family val="2"/>
    </font>
    <font>
      <b/>
      <i/>
      <u/>
      <sz val="8"/>
      <color indexed="10"/>
      <name val="Arial"/>
      <family val="2"/>
    </font>
    <font>
      <sz val="10"/>
      <color indexed="9"/>
      <name val="Arial"/>
      <family val="2"/>
    </font>
    <font>
      <b/>
      <u/>
      <sz val="10"/>
      <color indexed="12"/>
      <name val="Arial"/>
      <family val="2"/>
    </font>
    <font>
      <b/>
      <sz val="14"/>
      <color indexed="10"/>
      <name val="Arial"/>
      <family val="2"/>
    </font>
    <font>
      <b/>
      <i/>
      <u/>
      <sz val="12"/>
      <color indexed="10"/>
      <name val="Arial"/>
      <family val="2"/>
    </font>
    <font>
      <b/>
      <u/>
      <sz val="16"/>
      <name val="Arial"/>
      <family val="2"/>
    </font>
    <font>
      <sz val="9"/>
      <name val="Arial Narrow"/>
      <family val="2"/>
    </font>
  </fonts>
  <fills count="8">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15"/>
        <bgColor indexed="64"/>
      </patternFill>
    </fill>
    <fill>
      <patternFill patternType="solid">
        <fgColor theme="7"/>
        <bgColor indexed="64"/>
      </patternFill>
    </fill>
    <fill>
      <patternFill patternType="solid">
        <fgColor indexed="10"/>
        <bgColor indexed="64"/>
      </patternFill>
    </fill>
  </fills>
  <borders count="24">
    <border>
      <left/>
      <right/>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s>
  <cellStyleXfs count="3">
    <xf numFmtId="0" fontId="0" fillId="0" borderId="0"/>
    <xf numFmtId="0" fontId="3" fillId="0" borderId="0"/>
    <xf numFmtId="164" fontId="3" fillId="0" borderId="0" applyFont="0" applyFill="0" applyBorder="0" applyAlignment="0" applyProtection="0"/>
  </cellStyleXfs>
  <cellXfs count="150">
    <xf numFmtId="0" fontId="0" fillId="0" borderId="0" xfId="0"/>
    <xf numFmtId="2" fontId="2" fillId="0" borderId="2" xfId="1" applyNumberFormat="1" applyFont="1" applyBorder="1" applyAlignment="1">
      <alignment horizontal="center"/>
    </xf>
    <xf numFmtId="0" fontId="2" fillId="0" borderId="7" xfId="1" applyFont="1" applyBorder="1" applyAlignment="1">
      <alignment horizontal="center"/>
    </xf>
    <xf numFmtId="2" fontId="2" fillId="0" borderId="4" xfId="1" applyNumberFormat="1" applyFont="1" applyBorder="1" applyAlignment="1">
      <alignment horizontal="center"/>
    </xf>
    <xf numFmtId="0" fontId="2" fillId="0" borderId="9" xfId="1" applyFont="1" applyBorder="1" applyAlignment="1">
      <alignment horizontal="center"/>
    </xf>
    <xf numFmtId="2" fontId="2" fillId="0" borderId="11" xfId="1" applyNumberFormat="1" applyFont="1" applyBorder="1" applyAlignment="1">
      <alignment horizontal="center"/>
    </xf>
    <xf numFmtId="0" fontId="2" fillId="0" borderId="5" xfId="1" applyFont="1" applyBorder="1"/>
    <xf numFmtId="2" fontId="2" fillId="0" borderId="10" xfId="1" applyNumberFormat="1" applyFont="1" applyBorder="1" applyAlignment="1">
      <alignment horizontal="center"/>
    </xf>
    <xf numFmtId="0" fontId="2" fillId="0" borderId="4" xfId="1" applyFont="1" applyBorder="1"/>
    <xf numFmtId="0" fontId="3" fillId="4" borderId="12" xfId="1" applyFill="1" applyBorder="1" applyAlignment="1">
      <alignment horizontal="centerContinuous"/>
    </xf>
    <xf numFmtId="0" fontId="2" fillId="4" borderId="6" xfId="1" applyFont="1" applyFill="1" applyBorder="1" applyAlignment="1">
      <alignment horizontal="centerContinuous"/>
    </xf>
    <xf numFmtId="2" fontId="2" fillId="2" borderId="2" xfId="1" applyNumberFormat="1" applyFont="1" applyFill="1" applyBorder="1" applyAlignment="1">
      <alignment horizontal="center"/>
    </xf>
    <xf numFmtId="0" fontId="2" fillId="0" borderId="7" xfId="1" applyFont="1" applyBorder="1"/>
    <xf numFmtId="2" fontId="2" fillId="2" borderId="4" xfId="1" applyNumberFormat="1" applyFont="1" applyFill="1" applyBorder="1" applyAlignment="1">
      <alignment horizontal="center"/>
    </xf>
    <xf numFmtId="0" fontId="2" fillId="0" borderId="9" xfId="1" applyFont="1" applyBorder="1"/>
    <xf numFmtId="0" fontId="2" fillId="0" borderId="4" xfId="1" quotePrefix="1" applyFont="1" applyBorder="1"/>
    <xf numFmtId="2" fontId="2" fillId="0" borderId="13" xfId="1" applyNumberFormat="1" applyFont="1" applyBorder="1" applyAlignment="1">
      <alignment horizontal="center"/>
    </xf>
    <xf numFmtId="0" fontId="2" fillId="0" borderId="14" xfId="1" quotePrefix="1" applyFont="1" applyBorder="1"/>
    <xf numFmtId="0" fontId="2" fillId="0" borderId="2" xfId="1" applyFont="1" applyBorder="1" applyAlignment="1">
      <alignment horizontal="center"/>
    </xf>
    <xf numFmtId="0" fontId="2" fillId="0" borderId="3" xfId="1" applyFont="1" applyBorder="1" applyAlignment="1">
      <alignment horizontal="center"/>
    </xf>
    <xf numFmtId="0" fontId="2" fillId="0" borderId="1" xfId="1" applyFont="1" applyBorder="1" applyAlignment="1">
      <alignment horizontal="center"/>
    </xf>
    <xf numFmtId="2" fontId="2" fillId="2" borderId="3" xfId="1" applyNumberFormat="1" applyFont="1" applyFill="1" applyBorder="1" applyAlignment="1">
      <alignment horizontal="center"/>
    </xf>
    <xf numFmtId="0" fontId="2" fillId="0" borderId="15" xfId="1" applyFont="1" applyBorder="1"/>
    <xf numFmtId="0" fontId="1" fillId="3" borderId="1" xfId="1" applyFont="1" applyFill="1" applyBorder="1"/>
    <xf numFmtId="0" fontId="2" fillId="2" borderId="3" xfId="1" applyFont="1" applyFill="1" applyBorder="1" applyAlignment="1">
      <alignment horizontal="center"/>
    </xf>
    <xf numFmtId="0" fontId="2" fillId="2" borderId="2" xfId="1" applyFont="1" applyFill="1" applyBorder="1" applyAlignment="1">
      <alignment horizontal="center"/>
    </xf>
    <xf numFmtId="0" fontId="2" fillId="4" borderId="1" xfId="1" applyFont="1" applyFill="1" applyBorder="1" applyAlignment="1">
      <alignment horizontal="centerContinuous"/>
    </xf>
    <xf numFmtId="0" fontId="4" fillId="4" borderId="16" xfId="1" applyFont="1" applyFill="1" applyBorder="1" applyAlignment="1">
      <alignment horizontal="centerContinuous"/>
    </xf>
    <xf numFmtId="0" fontId="0" fillId="0" borderId="17" xfId="0" applyBorder="1"/>
    <xf numFmtId="3" fontId="0" fillId="0" borderId="17" xfId="0" applyNumberFormat="1" applyBorder="1"/>
    <xf numFmtId="6" fontId="0" fillId="0" borderId="17" xfId="0" applyNumberFormat="1" applyBorder="1"/>
    <xf numFmtId="0" fontId="1" fillId="3" borderId="8" xfId="1" applyFont="1" applyFill="1" applyBorder="1" applyAlignment="1">
      <alignment horizontal="center"/>
    </xf>
    <xf numFmtId="0" fontId="5" fillId="5" borderId="18" xfId="1" applyFont="1" applyFill="1" applyBorder="1"/>
    <xf numFmtId="0" fontId="6" fillId="5" borderId="12" xfId="1" applyFont="1" applyFill="1" applyBorder="1"/>
    <xf numFmtId="0" fontId="3" fillId="0" borderId="0" xfId="1"/>
    <xf numFmtId="0" fontId="3" fillId="6" borderId="0" xfId="1" applyFill="1"/>
    <xf numFmtId="0" fontId="7" fillId="0" borderId="0" xfId="1" applyFont="1"/>
    <xf numFmtId="0" fontId="1" fillId="7" borderId="0" xfId="1" quotePrefix="1" applyFont="1" applyFill="1"/>
    <xf numFmtId="0" fontId="8" fillId="7" borderId="0" xfId="1" applyFont="1" applyFill="1"/>
    <xf numFmtId="2" fontId="2" fillId="0" borderId="18" xfId="1" applyNumberFormat="1" applyFont="1" applyBorder="1" applyAlignment="1">
      <alignment horizontal="center"/>
    </xf>
    <xf numFmtId="0" fontId="9" fillId="0" borderId="0" xfId="1" applyFont="1"/>
    <xf numFmtId="0" fontId="1" fillId="7" borderId="1" xfId="1" applyFont="1" applyFill="1" applyBorder="1" applyAlignment="1">
      <alignment horizontal="centerContinuous"/>
    </xf>
    <xf numFmtId="0" fontId="8" fillId="7" borderId="16" xfId="1" applyFont="1" applyFill="1" applyBorder="1" applyAlignment="1">
      <alignment horizontal="centerContinuous"/>
    </xf>
    <xf numFmtId="0" fontId="2" fillId="0" borderId="18" xfId="1" applyFont="1" applyBorder="1" applyAlignment="1">
      <alignment horizontal="center"/>
    </xf>
    <xf numFmtId="0" fontId="2" fillId="0" borderId="12" xfId="1" applyFont="1" applyBorder="1" applyAlignment="1">
      <alignment horizontal="center"/>
    </xf>
    <xf numFmtId="0" fontId="10" fillId="0" borderId="0" xfId="1" applyFont="1" applyAlignment="1">
      <alignment horizontal="center"/>
    </xf>
    <xf numFmtId="0" fontId="11" fillId="0" borderId="0" xfId="1" applyFont="1"/>
    <xf numFmtId="0" fontId="10" fillId="0" borderId="2" xfId="1" applyFont="1" applyBorder="1" applyAlignment="1" applyProtection="1">
      <alignment horizontal="center"/>
      <protection locked="0"/>
    </xf>
    <xf numFmtId="2" fontId="2" fillId="0" borderId="19" xfId="1" applyNumberFormat="1" applyFont="1" applyBorder="1" applyAlignment="1">
      <alignment horizontal="center"/>
    </xf>
    <xf numFmtId="0" fontId="1" fillId="3" borderId="6" xfId="1" applyFont="1" applyFill="1" applyBorder="1" applyAlignment="1">
      <alignment horizontal="center"/>
    </xf>
    <xf numFmtId="0" fontId="3" fillId="0" borderId="12" xfId="1" applyBorder="1" applyAlignment="1">
      <alignment horizontal="center"/>
    </xf>
    <xf numFmtId="3" fontId="3" fillId="0" borderId="3" xfId="1" applyNumberFormat="1" applyBorder="1" applyAlignment="1">
      <alignment horizontal="center"/>
    </xf>
    <xf numFmtId="165" fontId="3" fillId="0" borderId="20" xfId="1" applyNumberFormat="1" applyBorder="1" applyAlignment="1">
      <alignment horizontal="center"/>
    </xf>
    <xf numFmtId="0" fontId="1" fillId="0" borderId="1" xfId="1" applyFont="1" applyBorder="1"/>
    <xf numFmtId="3" fontId="3" fillId="0" borderId="4" xfId="1" applyNumberFormat="1" applyBorder="1" applyAlignment="1">
      <alignment horizontal="center"/>
    </xf>
    <xf numFmtId="165" fontId="3" fillId="0" borderId="10" xfId="1" applyNumberFormat="1" applyBorder="1" applyAlignment="1">
      <alignment horizontal="center"/>
    </xf>
    <xf numFmtId="0" fontId="2" fillId="0" borderId="0" xfId="1" applyFont="1" applyAlignment="1">
      <alignment horizontal="right"/>
    </xf>
    <xf numFmtId="0" fontId="1" fillId="7" borderId="16" xfId="1" applyFont="1" applyFill="1" applyBorder="1" applyAlignment="1">
      <alignment horizontal="centerContinuous"/>
    </xf>
    <xf numFmtId="0" fontId="12" fillId="0" borderId="0" xfId="1" applyFont="1" applyAlignment="1">
      <alignment horizontal="right"/>
    </xf>
    <xf numFmtId="0" fontId="13" fillId="0" borderId="2" xfId="1" applyFont="1" applyBorder="1" applyAlignment="1">
      <alignment horizontal="center"/>
    </xf>
    <xf numFmtId="0" fontId="13" fillId="0" borderId="19" xfId="1" applyFont="1" applyBorder="1" applyAlignment="1">
      <alignment horizontal="center"/>
    </xf>
    <xf numFmtId="0" fontId="13" fillId="0" borderId="18" xfId="1" applyFont="1" applyBorder="1" applyAlignment="1">
      <alignment horizontal="center"/>
    </xf>
    <xf numFmtId="0" fontId="13" fillId="0" borderId="0" xfId="1" applyFont="1" applyAlignment="1">
      <alignment horizontal="right"/>
    </xf>
    <xf numFmtId="3" fontId="14" fillId="2" borderId="3" xfId="1" applyNumberFormat="1" applyFont="1" applyFill="1" applyBorder="1" applyAlignment="1" applyProtection="1">
      <alignment horizontal="center"/>
      <protection locked="0"/>
    </xf>
    <xf numFmtId="1" fontId="14" fillId="2" borderId="3" xfId="1" applyNumberFormat="1" applyFont="1" applyFill="1" applyBorder="1" applyAlignment="1" applyProtection="1">
      <alignment horizontal="center"/>
      <protection locked="0"/>
    </xf>
    <xf numFmtId="4" fontId="13" fillId="2" borderId="3" xfId="1" applyNumberFormat="1" applyFont="1" applyFill="1" applyBorder="1" applyAlignment="1">
      <alignment horizontal="center"/>
    </xf>
    <xf numFmtId="2" fontId="13" fillId="2" borderId="3" xfId="1" applyNumberFormat="1" applyFont="1" applyFill="1" applyBorder="1" applyAlignment="1">
      <alignment horizontal="center"/>
    </xf>
    <xf numFmtId="3" fontId="3" fillId="0" borderId="21" xfId="1" applyNumberFormat="1" applyBorder="1" applyAlignment="1">
      <alignment horizontal="center"/>
    </xf>
    <xf numFmtId="165" fontId="3" fillId="0" borderId="22" xfId="1" applyNumberFormat="1" applyBorder="1" applyAlignment="1">
      <alignment horizontal="center"/>
    </xf>
    <xf numFmtId="3" fontId="14" fillId="2" borderId="4" xfId="1" applyNumberFormat="1" applyFont="1" applyFill="1" applyBorder="1" applyAlignment="1" applyProtection="1">
      <alignment horizontal="center"/>
      <protection locked="0"/>
    </xf>
    <xf numFmtId="1" fontId="14" fillId="2" borderId="4" xfId="1" applyNumberFormat="1" applyFont="1" applyFill="1" applyBorder="1" applyAlignment="1" applyProtection="1">
      <alignment horizontal="center"/>
      <protection locked="0"/>
    </xf>
    <xf numFmtId="4" fontId="13" fillId="2" borderId="4" xfId="1" applyNumberFormat="1" applyFont="1" applyFill="1" applyBorder="1" applyAlignment="1">
      <alignment horizontal="center"/>
    </xf>
    <xf numFmtId="2" fontId="13" fillId="2" borderId="4" xfId="1" applyNumberFormat="1" applyFont="1" applyFill="1" applyBorder="1" applyAlignment="1">
      <alignment horizontal="center"/>
    </xf>
    <xf numFmtId="3" fontId="14" fillId="2" borderId="5" xfId="1" applyNumberFormat="1" applyFont="1" applyFill="1" applyBorder="1" applyAlignment="1" applyProtection="1">
      <alignment horizontal="center"/>
      <protection locked="0"/>
    </xf>
    <xf numFmtId="1" fontId="14" fillId="2" borderId="2" xfId="1" applyNumberFormat="1" applyFont="1" applyFill="1" applyBorder="1" applyAlignment="1" applyProtection="1">
      <alignment horizontal="center"/>
      <protection locked="0"/>
    </xf>
    <xf numFmtId="4" fontId="13" fillId="2" borderId="5" xfId="1" applyNumberFormat="1" applyFont="1" applyFill="1" applyBorder="1" applyAlignment="1">
      <alignment horizontal="center"/>
    </xf>
    <xf numFmtId="2" fontId="13" fillId="2" borderId="2" xfId="1" applyNumberFormat="1" applyFont="1" applyFill="1" applyBorder="1" applyAlignment="1">
      <alignment horizontal="center"/>
    </xf>
    <xf numFmtId="2" fontId="13" fillId="2" borderId="18" xfId="1" applyNumberFormat="1" applyFont="1" applyFill="1" applyBorder="1" applyAlignment="1">
      <alignment horizontal="center"/>
    </xf>
    <xf numFmtId="3" fontId="3" fillId="0" borderId="2" xfId="1" applyNumberFormat="1" applyBorder="1" applyAlignment="1">
      <alignment horizontal="center"/>
    </xf>
    <xf numFmtId="165" fontId="3" fillId="0" borderId="19" xfId="1" applyNumberFormat="1" applyBorder="1" applyAlignment="1">
      <alignment horizontal="center"/>
    </xf>
    <xf numFmtId="0" fontId="9" fillId="0" borderId="0" xfId="1" applyFont="1" applyAlignment="1">
      <alignment horizontal="right"/>
    </xf>
    <xf numFmtId="0" fontId="1" fillId="0" borderId="0" xfId="1" applyFont="1"/>
    <xf numFmtId="4" fontId="2" fillId="0" borderId="18" xfId="1" applyNumberFormat="1" applyFont="1" applyBorder="1" applyAlignment="1">
      <alignment horizontal="center"/>
    </xf>
    <xf numFmtId="0" fontId="8" fillId="3" borderId="12" xfId="1" applyFont="1" applyFill="1" applyBorder="1" applyAlignment="1">
      <alignment horizontal="center"/>
    </xf>
    <xf numFmtId="0" fontId="15" fillId="0" borderId="0" xfId="1" applyFont="1"/>
    <xf numFmtId="0" fontId="4" fillId="0" borderId="0" xfId="1" applyFont="1"/>
    <xf numFmtId="4" fontId="16" fillId="0" borderId="18" xfId="1" applyNumberFormat="1" applyFont="1" applyBorder="1" applyAlignment="1">
      <alignment horizontal="center"/>
    </xf>
    <xf numFmtId="3" fontId="3" fillId="0" borderId="23" xfId="1" applyNumberFormat="1" applyBorder="1" applyAlignment="1">
      <alignment horizontal="center"/>
    </xf>
    <xf numFmtId="3" fontId="3" fillId="0" borderId="5" xfId="1" applyNumberFormat="1" applyBorder="1" applyAlignment="1">
      <alignment horizontal="center"/>
    </xf>
    <xf numFmtId="165" fontId="3" fillId="0" borderId="11" xfId="1" applyNumberFormat="1" applyBorder="1" applyAlignment="1">
      <alignment horizontal="center"/>
    </xf>
    <xf numFmtId="0" fontId="17" fillId="0" borderId="0" xfId="1" applyFont="1" applyAlignment="1">
      <alignment horizontal="right"/>
    </xf>
    <xf numFmtId="0" fontId="2" fillId="2" borderId="18" xfId="1" applyFont="1" applyFill="1" applyBorder="1" applyAlignment="1">
      <alignment horizontal="center"/>
    </xf>
    <xf numFmtId="0" fontId="18" fillId="0" borderId="0" xfId="1" applyFont="1" applyAlignment="1">
      <alignment horizontal="left"/>
    </xf>
    <xf numFmtId="165" fontId="2" fillId="0" borderId="0" xfId="1" applyNumberFormat="1" applyFont="1" applyAlignment="1">
      <alignment horizontal="center"/>
    </xf>
    <xf numFmtId="0" fontId="17" fillId="0" borderId="0" xfId="1" applyFont="1"/>
    <xf numFmtId="0" fontId="19" fillId="0" borderId="0" xfId="1" applyFont="1"/>
    <xf numFmtId="165" fontId="3" fillId="0" borderId="0" xfId="1" applyNumberFormat="1"/>
    <xf numFmtId="1" fontId="2" fillId="2" borderId="18" xfId="2" applyNumberFormat="1" applyFont="1" applyFill="1" applyBorder="1" applyAlignment="1">
      <alignment horizontal="center"/>
    </xf>
    <xf numFmtId="0" fontId="2" fillId="0" borderId="15" xfId="1" applyFont="1" applyBorder="1" applyAlignment="1">
      <alignment horizontal="center"/>
    </xf>
    <xf numFmtId="165" fontId="2" fillId="0" borderId="4" xfId="1" applyNumberFormat="1" applyFont="1" applyBorder="1" applyAlignment="1">
      <alignment horizontal="center"/>
    </xf>
    <xf numFmtId="0" fontId="2" fillId="0" borderId="0" xfId="1" applyFont="1" applyAlignment="1">
      <alignment horizontal="center"/>
    </xf>
    <xf numFmtId="0" fontId="20" fillId="0" borderId="0" xfId="1" applyFont="1" applyAlignment="1">
      <alignment horizontal="right"/>
    </xf>
    <xf numFmtId="4" fontId="2" fillId="6" borderId="0" xfId="1" applyNumberFormat="1" applyFont="1" applyFill="1" applyAlignment="1">
      <alignment horizontal="center"/>
    </xf>
    <xf numFmtId="0" fontId="17" fillId="0" borderId="0" xfId="1" quotePrefix="1" applyFont="1" applyAlignment="1">
      <alignment horizontal="right"/>
    </xf>
    <xf numFmtId="2" fontId="2" fillId="2" borderId="17" xfId="1" applyNumberFormat="1" applyFont="1" applyFill="1" applyBorder="1" applyAlignment="1" applyProtection="1">
      <alignment horizontal="center"/>
      <protection locked="0"/>
    </xf>
    <xf numFmtId="4" fontId="2" fillId="0" borderId="0" xfId="1" applyNumberFormat="1" applyFont="1" applyAlignment="1">
      <alignment horizontal="center"/>
    </xf>
    <xf numFmtId="0" fontId="4" fillId="6" borderId="0" xfId="1" applyFont="1" applyFill="1"/>
    <xf numFmtId="2" fontId="2" fillId="0" borderId="0" xfId="1" applyNumberFormat="1" applyFont="1" applyAlignment="1">
      <alignment horizontal="center"/>
    </xf>
    <xf numFmtId="2" fontId="3" fillId="0" borderId="0" xfId="1" applyNumberFormat="1"/>
    <xf numFmtId="2" fontId="3" fillId="6" borderId="0" xfId="1" applyNumberFormat="1" applyFill="1"/>
    <xf numFmtId="165" fontId="2" fillId="0" borderId="5" xfId="1" applyNumberFormat="1" applyFont="1" applyBorder="1" applyAlignment="1">
      <alignment horizontal="center"/>
    </xf>
    <xf numFmtId="2" fontId="2" fillId="6" borderId="0" xfId="1" applyNumberFormat="1" applyFont="1" applyFill="1" applyAlignment="1">
      <alignment horizontal="center"/>
    </xf>
    <xf numFmtId="0" fontId="16" fillId="2" borderId="6" xfId="1" applyFont="1" applyFill="1" applyBorder="1" applyAlignment="1">
      <alignment horizontal="centerContinuous" vertical="center"/>
    </xf>
    <xf numFmtId="0" fontId="3" fillId="2" borderId="12" xfId="1" applyFill="1" applyBorder="1" applyAlignment="1">
      <alignment horizontal="centerContinuous" vertical="center"/>
    </xf>
    <xf numFmtId="0" fontId="16" fillId="2" borderId="6" xfId="1" applyFont="1" applyFill="1" applyBorder="1" applyAlignment="1">
      <alignment horizontal="center"/>
    </xf>
    <xf numFmtId="0" fontId="1" fillId="2" borderId="18" xfId="1" applyFont="1" applyFill="1" applyBorder="1" applyAlignment="1">
      <alignment horizontal="center"/>
    </xf>
    <xf numFmtId="166" fontId="1" fillId="2" borderId="12" xfId="1" applyNumberFormat="1" applyFont="1" applyFill="1" applyBorder="1" applyAlignment="1">
      <alignment horizontal="center"/>
    </xf>
    <xf numFmtId="166" fontId="16" fillId="0" borderId="15" xfId="1" applyNumberFormat="1" applyFont="1" applyBorder="1" applyAlignment="1">
      <alignment horizontal="center"/>
    </xf>
    <xf numFmtId="167" fontId="16" fillId="0" borderId="23" xfId="1" applyNumberFormat="1" applyFont="1" applyBorder="1" applyAlignment="1">
      <alignment horizontal="center"/>
    </xf>
    <xf numFmtId="166" fontId="16" fillId="0" borderId="4" xfId="1" applyNumberFormat="1" applyFont="1" applyBorder="1" applyAlignment="1">
      <alignment horizontal="center"/>
    </xf>
    <xf numFmtId="167" fontId="16" fillId="0" borderId="4" xfId="1" applyNumberFormat="1" applyFont="1" applyBorder="1" applyAlignment="1">
      <alignment horizontal="center"/>
    </xf>
    <xf numFmtId="0" fontId="3" fillId="0" borderId="0" xfId="1" applyAlignment="1">
      <alignment horizontal="centerContinuous"/>
    </xf>
    <xf numFmtId="0" fontId="3" fillId="6" borderId="0" xfId="1" applyFill="1" applyAlignment="1">
      <alignment horizontal="centerContinuous"/>
    </xf>
    <xf numFmtId="0" fontId="2" fillId="0" borderId="0" xfId="1" quotePrefix="1" applyFont="1" applyAlignment="1">
      <alignment horizontal="center"/>
    </xf>
    <xf numFmtId="0" fontId="2" fillId="6" borderId="0" xfId="1" quotePrefix="1" applyFont="1" applyFill="1" applyAlignment="1">
      <alignment horizontal="center"/>
    </xf>
    <xf numFmtId="166" fontId="16" fillId="0" borderId="7" xfId="1" applyNumberFormat="1" applyFont="1" applyBorder="1" applyAlignment="1">
      <alignment horizontal="center"/>
    </xf>
    <xf numFmtId="167" fontId="16" fillId="0" borderId="5" xfId="1" applyNumberFormat="1" applyFont="1" applyBorder="1" applyAlignment="1">
      <alignment horizontal="center"/>
    </xf>
    <xf numFmtId="0" fontId="2" fillId="6" borderId="0" xfId="1" applyFont="1" applyFill="1" applyAlignment="1">
      <alignment horizontal="center"/>
    </xf>
    <xf numFmtId="167" fontId="16" fillId="0" borderId="0" xfId="1" applyNumberFormat="1" applyFont="1" applyAlignment="1">
      <alignment horizontal="center"/>
    </xf>
    <xf numFmtId="167" fontId="16" fillId="6" borderId="0" xfId="1" applyNumberFormat="1" applyFont="1" applyFill="1" applyAlignment="1">
      <alignment horizontal="center"/>
    </xf>
    <xf numFmtId="0" fontId="21" fillId="0" borderId="18" xfId="1" applyFont="1" applyBorder="1" applyAlignment="1">
      <alignment horizontal="right"/>
    </xf>
    <xf numFmtId="0" fontId="21" fillId="0" borderId="18" xfId="1" applyFont="1" applyBorder="1" applyAlignment="1">
      <alignment horizontal="center"/>
    </xf>
    <xf numFmtId="0" fontId="22" fillId="0" borderId="0" xfId="1" applyFont="1" applyAlignment="1">
      <alignment horizontal="left"/>
    </xf>
    <xf numFmtId="0" fontId="23" fillId="0" borderId="0" xfId="1" applyFont="1" applyAlignment="1">
      <alignment horizontal="right"/>
    </xf>
    <xf numFmtId="0" fontId="16" fillId="0" borderId="0" xfId="1" applyFont="1" applyAlignment="1">
      <alignment horizontal="right"/>
    </xf>
    <xf numFmtId="3" fontId="16" fillId="0" borderId="0" xfId="1" applyNumberFormat="1" applyFont="1" applyAlignment="1">
      <alignment horizontal="center"/>
    </xf>
    <xf numFmtId="3" fontId="3" fillId="0" borderId="0" xfId="1" applyNumberFormat="1" applyAlignment="1">
      <alignment horizontal="center"/>
    </xf>
    <xf numFmtId="0" fontId="3" fillId="0" borderId="0" xfId="1" applyAlignment="1">
      <alignment horizontal="center"/>
    </xf>
    <xf numFmtId="3" fontId="2" fillId="0" borderId="0" xfId="1" applyNumberFormat="1" applyFont="1" applyAlignment="1">
      <alignment horizontal="center"/>
    </xf>
    <xf numFmtId="0" fontId="5" fillId="0" borderId="6" xfId="1" applyFont="1" applyBorder="1" applyAlignment="1">
      <alignment horizontal="right"/>
    </xf>
    <xf numFmtId="167" fontId="5" fillId="0" borderId="12" xfId="1" applyNumberFormat="1" applyFont="1" applyBorder="1" applyAlignment="1">
      <alignment horizontal="center"/>
    </xf>
    <xf numFmtId="3" fontId="2" fillId="0" borderId="0" xfId="1" applyNumberFormat="1" applyFont="1"/>
    <xf numFmtId="4" fontId="3" fillId="0" borderId="0" xfId="1" applyNumberFormat="1"/>
    <xf numFmtId="4" fontId="3" fillId="0" borderId="20" xfId="1" applyNumberFormat="1" applyBorder="1" applyAlignment="1">
      <alignment horizontal="center"/>
    </xf>
    <xf numFmtId="4" fontId="3" fillId="0" borderId="10" xfId="1" applyNumberFormat="1" applyBorder="1" applyAlignment="1">
      <alignment horizontal="center"/>
    </xf>
    <xf numFmtId="4" fontId="3" fillId="0" borderId="22" xfId="1" applyNumberFormat="1" applyBorder="1" applyAlignment="1">
      <alignment horizontal="center"/>
    </xf>
    <xf numFmtId="4" fontId="3" fillId="0" borderId="19" xfId="1" applyNumberFormat="1" applyBorder="1" applyAlignment="1">
      <alignment horizontal="center"/>
    </xf>
    <xf numFmtId="0" fontId="2" fillId="0" borderId="6" xfId="1" applyFont="1" applyBorder="1" applyAlignment="1">
      <alignment horizontal="center"/>
    </xf>
    <xf numFmtId="2" fontId="3" fillId="0" borderId="0" xfId="1" applyNumberFormat="1" applyAlignment="1">
      <alignment horizontal="center"/>
    </xf>
    <xf numFmtId="0" fontId="24" fillId="0" borderId="0" xfId="1" applyFont="1"/>
  </cellXfs>
  <cellStyles count="3">
    <cellStyle name="Comma 2" xfId="2" xr:uid="{18A017E4-D09A-4E2E-9EC1-BDAB3E2AC0C0}"/>
    <cellStyle name="Normal" xfId="0" builtinId="0"/>
    <cellStyle name="Normal 2" xfId="1" xr:uid="{EC015975-BC51-4244-B4BD-5383685C47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nup/OneDrive/Desktop/00-Raitrix/Rating%20Solution/Copy%20of%20Rating%20Summary-%2012-4-00.xls" TargetMode="External"/><Relationship Id="rId2" Type="http://schemas.openxmlformats.org/officeDocument/2006/relationships/externalLinkPath" Target="file:///C:\Users\penup\OneDrive\Desktop\00-Raitrix\Rating%20Solution\Copy%20of%20Rating%20Summary-%2012-4-00.xls" TargetMode="External"/><Relationship Id="rId1" Type="http://schemas.openxmlformats.org/officeDocument/2006/relationships/externalLinkPath" Target="/Users/penup/OneDrive/Desktop/00-Raitrix/Rating%20Solution/Copy%20of%20Rating%20Summary-%2012-4-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EPLI 1"/>
      <sheetName val="EPLI 2"/>
      <sheetName val="EPLI 3"/>
      <sheetName val="Professional 1"/>
      <sheetName val="Professional 2"/>
      <sheetName val="Professional 3"/>
      <sheetName val="Umbrella"/>
      <sheetName val="PropGL Rating 1"/>
      <sheetName val="PropGL Rating 2"/>
      <sheetName val="PropGL Rating 3"/>
      <sheetName val="Sheet1"/>
      <sheetName val="PropGL Base Rates"/>
      <sheetName val="PropGL Relativities"/>
      <sheetName val="PropGL Optional Cover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
          <cell r="B7">
            <v>8.8239999999999998</v>
          </cell>
        </row>
        <row r="8">
          <cell r="B8">
            <v>2.9409999999999998</v>
          </cell>
          <cell r="FO8" t="str">
            <v>AK</v>
          </cell>
          <cell r="FP8">
            <v>2</v>
          </cell>
        </row>
        <row r="9">
          <cell r="FO9" t="str">
            <v>AL</v>
          </cell>
          <cell r="FP9">
            <v>3</v>
          </cell>
        </row>
        <row r="10">
          <cell r="FO10" t="str">
            <v>AR</v>
          </cell>
          <cell r="FP10">
            <v>4</v>
          </cell>
        </row>
        <row r="11">
          <cell r="FO11" t="str">
            <v>AZ</v>
          </cell>
          <cell r="FP11">
            <v>5</v>
          </cell>
        </row>
        <row r="12">
          <cell r="FO12" t="str">
            <v>CA</v>
          </cell>
          <cell r="FP12">
            <v>6</v>
          </cell>
        </row>
        <row r="13">
          <cell r="FO13" t="str">
            <v>CO</v>
          </cell>
          <cell r="FP13">
            <v>7</v>
          </cell>
        </row>
        <row r="14">
          <cell r="FO14" t="str">
            <v>CT</v>
          </cell>
          <cell r="FP14">
            <v>8</v>
          </cell>
        </row>
        <row r="15">
          <cell r="B15" t="str">
            <v>AK</v>
          </cell>
          <cell r="C15" t="str">
            <v>AL</v>
          </cell>
          <cell r="D15" t="str">
            <v>AR</v>
          </cell>
          <cell r="E15" t="str">
            <v>AZ</v>
          </cell>
          <cell r="F15" t="str">
            <v>CA</v>
          </cell>
          <cell r="G15" t="str">
            <v>CO</v>
          </cell>
          <cell r="H15" t="str">
            <v>CT</v>
          </cell>
          <cell r="I15" t="str">
            <v>DC</v>
          </cell>
          <cell r="J15" t="str">
            <v>DE</v>
          </cell>
          <cell r="K15" t="str">
            <v>FL</v>
          </cell>
          <cell r="L15" t="str">
            <v>GA</v>
          </cell>
          <cell r="M15" t="str">
            <v>HI</v>
          </cell>
          <cell r="N15" t="str">
            <v>IA</v>
          </cell>
          <cell r="O15" t="str">
            <v>ID</v>
          </cell>
          <cell r="P15" t="str">
            <v>IL</v>
          </cell>
          <cell r="Q15" t="str">
            <v>IN</v>
          </cell>
          <cell r="R15" t="str">
            <v>KS</v>
          </cell>
          <cell r="S15" t="str">
            <v>KY</v>
          </cell>
          <cell r="T15" t="str">
            <v>LA</v>
          </cell>
          <cell r="U15" t="str">
            <v>MA</v>
          </cell>
          <cell r="V15" t="str">
            <v>MD</v>
          </cell>
          <cell r="W15" t="str">
            <v>ME</v>
          </cell>
          <cell r="X15" t="str">
            <v>MI</v>
          </cell>
          <cell r="Y15" t="str">
            <v>MN</v>
          </cell>
          <cell r="Z15" t="str">
            <v>MO</v>
          </cell>
          <cell r="AA15" t="str">
            <v>MS</v>
          </cell>
          <cell r="AB15" t="str">
            <v>MT</v>
          </cell>
          <cell r="AC15" t="str">
            <v>NC</v>
          </cell>
          <cell r="AD15" t="str">
            <v>ND</v>
          </cell>
          <cell r="AE15" t="str">
            <v>NE</v>
          </cell>
          <cell r="AF15" t="str">
            <v>NH</v>
          </cell>
          <cell r="AG15" t="str">
            <v>NJ</v>
          </cell>
          <cell r="AH15" t="str">
            <v>NM</v>
          </cell>
          <cell r="AI15" t="str">
            <v>NV</v>
          </cell>
          <cell r="AJ15" t="str">
            <v>NY</v>
          </cell>
          <cell r="AK15" t="str">
            <v>OH</v>
          </cell>
          <cell r="AL15" t="str">
            <v>OK</v>
          </cell>
          <cell r="AM15" t="str">
            <v>OR</v>
          </cell>
          <cell r="AN15" t="str">
            <v>PA</v>
          </cell>
          <cell r="AO15" t="str">
            <v>RI</v>
          </cell>
          <cell r="AP15" t="str">
            <v>SC</v>
          </cell>
          <cell r="AQ15" t="str">
            <v>SD</v>
          </cell>
          <cell r="AR15" t="str">
            <v>TN</v>
          </cell>
          <cell r="AS15" t="str">
            <v>TX</v>
          </cell>
          <cell r="AT15" t="str">
            <v>UT</v>
          </cell>
          <cell r="AU15" t="str">
            <v>VA</v>
          </cell>
          <cell r="AV15" t="str">
            <v>VT</v>
          </cell>
          <cell r="AW15" t="str">
            <v>WA</v>
          </cell>
          <cell r="AX15" t="str">
            <v>WI</v>
          </cell>
          <cell r="AY15" t="str">
            <v>WV</v>
          </cell>
          <cell r="AZ15" t="str">
            <v>WY</v>
          </cell>
          <cell r="FO15" t="str">
            <v>DC</v>
          </cell>
          <cell r="FP15">
            <v>9</v>
          </cell>
        </row>
        <row r="16">
          <cell r="B16">
            <v>1.385</v>
          </cell>
          <cell r="C16">
            <v>1.3680000000000001</v>
          </cell>
          <cell r="D16">
            <v>1.754</v>
          </cell>
          <cell r="E16">
            <v>1.4650000000000001</v>
          </cell>
          <cell r="F16">
            <v>1.1160000000000001</v>
          </cell>
          <cell r="G16">
            <v>0.86799999999999999</v>
          </cell>
          <cell r="H16">
            <v>1.01</v>
          </cell>
          <cell r="I16">
            <v>1.5</v>
          </cell>
          <cell r="J16">
            <v>1.08</v>
          </cell>
          <cell r="K16">
            <v>1.718</v>
          </cell>
          <cell r="L16">
            <v>1.2529999999999999</v>
          </cell>
          <cell r="M16" t="e">
            <v>#VALUE!</v>
          </cell>
          <cell r="N16">
            <v>1.3320000000000001</v>
          </cell>
          <cell r="O16">
            <v>0.79</v>
          </cell>
          <cell r="P16">
            <v>0.98099999999999998</v>
          </cell>
          <cell r="Q16">
            <v>1.075</v>
          </cell>
          <cell r="R16">
            <v>1.4430000000000001</v>
          </cell>
          <cell r="S16">
            <v>1.724</v>
          </cell>
          <cell r="T16" t="e">
            <v>#VALUE!</v>
          </cell>
          <cell r="U16">
            <v>1.7649999999999999</v>
          </cell>
          <cell r="V16">
            <v>0.95499999999999996</v>
          </cell>
          <cell r="W16">
            <v>0.9</v>
          </cell>
          <cell r="X16">
            <v>0.93799999999999994</v>
          </cell>
          <cell r="Y16">
            <v>1.0229999999999999</v>
          </cell>
          <cell r="Z16">
            <v>1.3380000000000001</v>
          </cell>
          <cell r="AA16">
            <v>1.359</v>
          </cell>
          <cell r="AB16">
            <v>0.76900000000000002</v>
          </cell>
          <cell r="AC16">
            <v>1.345</v>
          </cell>
          <cell r="AD16">
            <v>1.1739999999999999</v>
          </cell>
          <cell r="AE16">
            <v>1.306</v>
          </cell>
          <cell r="AF16">
            <v>0.79300000000000004</v>
          </cell>
          <cell r="AG16">
            <v>1.1850000000000001</v>
          </cell>
          <cell r="AH16">
            <v>1.125</v>
          </cell>
          <cell r="AI16">
            <v>1.169</v>
          </cell>
          <cell r="AJ16">
            <v>1.2729999999999999</v>
          </cell>
          <cell r="AK16">
            <v>1.113</v>
          </cell>
          <cell r="AL16">
            <v>1.7410000000000001</v>
          </cell>
          <cell r="AM16">
            <v>0.61599999999999999</v>
          </cell>
          <cell r="AN16">
            <v>1.1399999999999999</v>
          </cell>
          <cell r="AO16">
            <v>1.3080000000000001</v>
          </cell>
          <cell r="AP16">
            <v>1.8640000000000001</v>
          </cell>
          <cell r="AQ16">
            <v>1.5169999999999999</v>
          </cell>
          <cell r="AR16">
            <v>1.25</v>
          </cell>
          <cell r="AS16">
            <v>1.145</v>
          </cell>
          <cell r="AT16">
            <v>0.90500000000000003</v>
          </cell>
          <cell r="AU16">
            <v>0.80700000000000005</v>
          </cell>
          <cell r="AV16">
            <v>1.1000000000000001</v>
          </cell>
          <cell r="AW16">
            <v>1.0009999999999999</v>
          </cell>
          <cell r="AX16">
            <v>0.627</v>
          </cell>
          <cell r="AY16">
            <v>1.1499999999999999</v>
          </cell>
          <cell r="AZ16">
            <v>0.99099999999999999</v>
          </cell>
          <cell r="FO16" t="str">
            <v>DE</v>
          </cell>
          <cell r="FP16">
            <v>10</v>
          </cell>
        </row>
        <row r="17">
          <cell r="B17">
            <v>1.0509999999999999</v>
          </cell>
          <cell r="C17">
            <v>1.1719999999999999</v>
          </cell>
          <cell r="D17">
            <v>1.0329999999999999</v>
          </cell>
          <cell r="E17">
            <v>1.4830000000000001</v>
          </cell>
          <cell r="F17">
            <v>1.5860000000000001</v>
          </cell>
          <cell r="G17">
            <v>0.83899999999999997</v>
          </cell>
          <cell r="H17">
            <v>2.2999999999999998</v>
          </cell>
          <cell r="I17">
            <v>1.75</v>
          </cell>
          <cell r="J17">
            <v>1.0329999999999999</v>
          </cell>
          <cell r="K17">
            <v>1.6479999999999999</v>
          </cell>
          <cell r="L17">
            <v>0.90300000000000002</v>
          </cell>
          <cell r="M17" t="e">
            <v>#VALUE!</v>
          </cell>
          <cell r="N17">
            <v>1.393</v>
          </cell>
          <cell r="O17">
            <v>0.93</v>
          </cell>
          <cell r="P17">
            <v>1.1020000000000001</v>
          </cell>
          <cell r="Q17">
            <v>1.175</v>
          </cell>
          <cell r="R17">
            <v>0.84599999999999997</v>
          </cell>
          <cell r="S17">
            <v>1.4610000000000001</v>
          </cell>
          <cell r="T17" t="e">
            <v>#VALUE!</v>
          </cell>
          <cell r="U17">
            <v>2.4710000000000001</v>
          </cell>
          <cell r="V17">
            <v>0.98099999999999998</v>
          </cell>
          <cell r="W17">
            <v>1.35</v>
          </cell>
          <cell r="X17">
            <v>1.7</v>
          </cell>
          <cell r="Y17">
            <v>1.389</v>
          </cell>
          <cell r="Z17">
            <v>1.181</v>
          </cell>
          <cell r="AA17">
            <v>0.92400000000000004</v>
          </cell>
          <cell r="AB17">
            <v>1.4670000000000001</v>
          </cell>
          <cell r="AC17">
            <v>1.131</v>
          </cell>
          <cell r="AD17">
            <v>0.81399999999999995</v>
          </cell>
          <cell r="AE17">
            <v>0.64300000000000002</v>
          </cell>
          <cell r="AF17">
            <v>1.698</v>
          </cell>
          <cell r="AG17">
            <v>3.0579999999999998</v>
          </cell>
          <cell r="AH17">
            <v>1.2749999999999999</v>
          </cell>
          <cell r="AI17">
            <v>1.468</v>
          </cell>
          <cell r="AJ17">
            <v>2.456</v>
          </cell>
          <cell r="AK17">
            <v>0.85</v>
          </cell>
          <cell r="AL17">
            <v>0.88700000000000001</v>
          </cell>
          <cell r="AM17">
            <v>0.98499999999999999</v>
          </cell>
          <cell r="AN17">
            <v>1.458</v>
          </cell>
          <cell r="AO17">
            <v>1.599</v>
          </cell>
          <cell r="AP17">
            <v>1.4079999999999999</v>
          </cell>
          <cell r="AQ17">
            <v>1.236</v>
          </cell>
          <cell r="AR17">
            <v>3.25</v>
          </cell>
          <cell r="AS17">
            <v>4.2359999999999998</v>
          </cell>
          <cell r="AT17">
            <v>1.099</v>
          </cell>
          <cell r="AU17">
            <v>0.79700000000000004</v>
          </cell>
          <cell r="AV17">
            <v>1.35</v>
          </cell>
          <cell r="AW17">
            <v>0.90500000000000003</v>
          </cell>
          <cell r="AX17">
            <v>0.96299999999999997</v>
          </cell>
          <cell r="AY17">
            <v>1.325</v>
          </cell>
          <cell r="AZ17">
            <v>1.0329999999999999</v>
          </cell>
          <cell r="FO17" t="str">
            <v>FL</v>
          </cell>
          <cell r="FP17">
            <v>11</v>
          </cell>
        </row>
        <row r="18">
          <cell r="FO18" t="str">
            <v>GA</v>
          </cell>
          <cell r="FP18">
            <v>12</v>
          </cell>
        </row>
        <row r="19">
          <cell r="FO19" t="str">
            <v>HI</v>
          </cell>
          <cell r="FP19">
            <v>13</v>
          </cell>
        </row>
        <row r="20">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cell r="S20" t="str">
            <v/>
          </cell>
          <cell r="T20" t="str">
            <v/>
          </cell>
          <cell r="U20" t="str">
            <v/>
          </cell>
          <cell r="W20" t="str">
            <v/>
          </cell>
          <cell r="X20" t="str">
            <v/>
          </cell>
          <cell r="Y20" t="str">
            <v/>
          </cell>
          <cell r="Z20" t="str">
            <v/>
          </cell>
          <cell r="AA20" t="str">
            <v/>
          </cell>
          <cell r="AB20" t="str">
            <v/>
          </cell>
          <cell r="AC20" t="str">
            <v/>
          </cell>
          <cell r="AD20" t="str">
            <v/>
          </cell>
          <cell r="AE20" t="str">
            <v/>
          </cell>
          <cell r="AF20" t="str">
            <v/>
          </cell>
          <cell r="AG20" t="str">
            <v/>
          </cell>
          <cell r="AH20" t="str">
            <v/>
          </cell>
          <cell r="AI20" t="str">
            <v/>
          </cell>
          <cell r="AJ20" t="str">
            <v/>
          </cell>
          <cell r="AK20" t="str">
            <v/>
          </cell>
          <cell r="AL20" t="str">
            <v/>
          </cell>
          <cell r="AM20" t="str">
            <v/>
          </cell>
          <cell r="AN20" t="str">
            <v/>
          </cell>
          <cell r="AO20" t="str">
            <v/>
          </cell>
          <cell r="AP20" t="str">
            <v/>
          </cell>
          <cell r="AQ20" t="str">
            <v/>
          </cell>
          <cell r="AR20" t="str">
            <v/>
          </cell>
          <cell r="AS20" t="str">
            <v/>
          </cell>
          <cell r="AT20" t="str">
            <v/>
          </cell>
          <cell r="AU20" t="str">
            <v/>
          </cell>
          <cell r="AV20" t="str">
            <v/>
          </cell>
          <cell r="AW20" t="str">
            <v/>
          </cell>
          <cell r="AX20" t="str">
            <v/>
          </cell>
          <cell r="AY20" t="str">
            <v/>
          </cell>
          <cell r="AZ20" t="str">
            <v/>
          </cell>
          <cell r="FO20" t="str">
            <v>IA</v>
          </cell>
          <cell r="FP20">
            <v>14</v>
          </cell>
        </row>
        <row r="21">
          <cell r="FO21" t="str">
            <v>ID</v>
          </cell>
          <cell r="FP21">
            <v>15</v>
          </cell>
        </row>
        <row r="22">
          <cell r="FO22" t="str">
            <v>IL</v>
          </cell>
          <cell r="FP22">
            <v>16</v>
          </cell>
        </row>
        <row r="23">
          <cell r="FO23" t="str">
            <v>IN</v>
          </cell>
          <cell r="FP23">
            <v>17</v>
          </cell>
        </row>
        <row r="24">
          <cell r="B24">
            <v>1</v>
          </cell>
          <cell r="C24" t="str">
            <v/>
          </cell>
          <cell r="D24">
            <v>0.93300000000000005</v>
          </cell>
          <cell r="E24">
            <v>1</v>
          </cell>
          <cell r="F24" t="str">
            <v/>
          </cell>
          <cell r="G24" t="str">
            <v/>
          </cell>
          <cell r="H24" t="str">
            <v/>
          </cell>
          <cell r="I24">
            <v>1.1639999999999999</v>
          </cell>
          <cell r="J24">
            <v>1</v>
          </cell>
          <cell r="K24">
            <v>1</v>
          </cell>
          <cell r="L24" t="str">
            <v/>
          </cell>
          <cell r="M24" t="str">
            <v/>
          </cell>
          <cell r="N24" t="str">
            <v/>
          </cell>
          <cell r="O24">
            <v>1</v>
          </cell>
          <cell r="P24">
            <v>1</v>
          </cell>
          <cell r="Q24">
            <v>1.056</v>
          </cell>
          <cell r="R24" t="str">
            <v/>
          </cell>
          <cell r="S24">
            <v>0.93500000000000005</v>
          </cell>
          <cell r="T24" t="str">
            <v/>
          </cell>
          <cell r="U24" t="str">
            <v/>
          </cell>
          <cell r="V24">
            <v>1.1599999999999999</v>
          </cell>
          <cell r="W24">
            <v>0.95399999999999996</v>
          </cell>
          <cell r="X24">
            <v>1</v>
          </cell>
          <cell r="Y24" t="str">
            <v/>
          </cell>
          <cell r="Z24" t="str">
            <v/>
          </cell>
          <cell r="AA24">
            <v>0.93200000000000005</v>
          </cell>
          <cell r="AB24" t="str">
            <v/>
          </cell>
          <cell r="AC24" t="str">
            <v/>
          </cell>
          <cell r="AD24" t="str">
            <v/>
          </cell>
          <cell r="AE24">
            <v>1</v>
          </cell>
          <cell r="AF24">
            <v>0.81499999999999995</v>
          </cell>
          <cell r="AG24">
            <v>1</v>
          </cell>
          <cell r="AH24">
            <v>1.27</v>
          </cell>
          <cell r="AI24" t="str">
            <v/>
          </cell>
          <cell r="AJ24">
            <v>1</v>
          </cell>
          <cell r="AK24" t="str">
            <v/>
          </cell>
          <cell r="AL24" t="str">
            <v/>
          </cell>
          <cell r="AM24">
            <v>0.871</v>
          </cell>
          <cell r="AN24">
            <v>1.3420000000000001</v>
          </cell>
          <cell r="AO24">
            <v>1.5640000000000001</v>
          </cell>
          <cell r="AP24">
            <v>1.0369999999999999</v>
          </cell>
          <cell r="AQ24" t="str">
            <v/>
          </cell>
          <cell r="AR24">
            <v>1</v>
          </cell>
          <cell r="AS24">
            <v>1.0369999999999999</v>
          </cell>
          <cell r="AT24" t="str">
            <v/>
          </cell>
          <cell r="AU24">
            <v>1</v>
          </cell>
          <cell r="AV24">
            <v>0.85499999999999998</v>
          </cell>
          <cell r="AW24">
            <v>1</v>
          </cell>
          <cell r="AX24">
            <v>1.002</v>
          </cell>
          <cell r="AY24">
            <v>1.349</v>
          </cell>
          <cell r="AZ24">
            <v>1</v>
          </cell>
          <cell r="BA24" t="str">
            <v/>
          </cell>
          <cell r="FO24" t="str">
            <v>KS</v>
          </cell>
          <cell r="FP24">
            <v>18</v>
          </cell>
        </row>
        <row r="25">
          <cell r="B25">
            <v>2</v>
          </cell>
          <cell r="C25">
            <v>1.0189999999999999</v>
          </cell>
          <cell r="D25" t="str">
            <v/>
          </cell>
          <cell r="E25" t="str">
            <v/>
          </cell>
          <cell r="F25" t="str">
            <v/>
          </cell>
          <cell r="G25" t="str">
            <v/>
          </cell>
          <cell r="H25" t="str">
            <v/>
          </cell>
          <cell r="I25" t="str">
            <v/>
          </cell>
          <cell r="J25" t="str">
            <v/>
          </cell>
          <cell r="K25" t="str">
            <v/>
          </cell>
          <cell r="L25">
            <v>1.9079999999999999</v>
          </cell>
          <cell r="M25">
            <v>0.88100000000000001</v>
          </cell>
          <cell r="N25" t="str">
            <v/>
          </cell>
          <cell r="O25">
            <v>1</v>
          </cell>
          <cell r="P25" t="str">
            <v/>
          </cell>
          <cell r="Q25" t="str">
            <v/>
          </cell>
          <cell r="R25">
            <v>1.2</v>
          </cell>
          <cell r="S25">
            <v>1.0649999999999999</v>
          </cell>
          <cell r="T25" t="str">
            <v/>
          </cell>
          <cell r="U25" t="str">
            <v/>
          </cell>
          <cell r="V25">
            <v>1.044</v>
          </cell>
          <cell r="W25">
            <v>0.94299999999999995</v>
          </cell>
          <cell r="X25" t="str">
            <v/>
          </cell>
          <cell r="Y25">
            <v>1.55</v>
          </cell>
          <cell r="Z25">
            <v>1.02</v>
          </cell>
          <cell r="AA25" t="str">
            <v/>
          </cell>
          <cell r="AB25">
            <v>1.875</v>
          </cell>
          <cell r="AC25">
            <v>1.0609999999999999</v>
          </cell>
          <cell r="AD25" t="str">
            <v/>
          </cell>
          <cell r="AE25" t="str">
            <v/>
          </cell>
          <cell r="AF25" t="str">
            <v/>
          </cell>
          <cell r="AG25" t="str">
            <v/>
          </cell>
          <cell r="AH25">
            <v>1.4119999999999999</v>
          </cell>
          <cell r="AI25">
            <v>0.94099999999999995</v>
          </cell>
          <cell r="AJ25" t="str">
            <v/>
          </cell>
          <cell r="AK25">
            <v>0.95399999999999996</v>
          </cell>
          <cell r="AL25">
            <v>0.93100000000000005</v>
          </cell>
          <cell r="AM25">
            <v>0.95699999999999996</v>
          </cell>
          <cell r="AN25">
            <v>0.85</v>
          </cell>
          <cell r="AO25">
            <v>1.127</v>
          </cell>
          <cell r="AP25">
            <v>0.97</v>
          </cell>
          <cell r="AQ25">
            <v>0.81899999999999995</v>
          </cell>
          <cell r="AR25" t="str">
            <v/>
          </cell>
          <cell r="AS25">
            <v>0.88200000000000001</v>
          </cell>
          <cell r="AT25" t="str">
            <v/>
          </cell>
          <cell r="AU25" t="str">
            <v/>
          </cell>
          <cell r="AV25" t="str">
            <v/>
          </cell>
          <cell r="AW25" t="str">
            <v/>
          </cell>
          <cell r="AX25">
            <v>0.998</v>
          </cell>
          <cell r="AY25">
            <v>0.91100000000000003</v>
          </cell>
          <cell r="AZ25" t="str">
            <v/>
          </cell>
          <cell r="BA25">
            <v>0.93799999999999994</v>
          </cell>
          <cell r="FO25" t="str">
            <v>KY</v>
          </cell>
          <cell r="FP25">
            <v>19</v>
          </cell>
        </row>
        <row r="26">
          <cell r="B26">
            <v>3</v>
          </cell>
          <cell r="C26">
            <v>1.153</v>
          </cell>
          <cell r="D26" t="str">
            <v/>
          </cell>
          <cell r="E26" t="str">
            <v/>
          </cell>
          <cell r="F26">
            <v>1.006</v>
          </cell>
          <cell r="G26" t="str">
            <v/>
          </cell>
          <cell r="H26">
            <v>0.97799999999999998</v>
          </cell>
          <cell r="I26">
            <v>0.9</v>
          </cell>
          <cell r="J26" t="str">
            <v/>
          </cell>
          <cell r="K26" t="str">
            <v/>
          </cell>
          <cell r="L26" t="str">
            <v/>
          </cell>
          <cell r="M26" t="str">
            <v/>
          </cell>
          <cell r="N26" t="str">
            <v/>
          </cell>
          <cell r="O26" t="str">
            <v/>
          </cell>
          <cell r="P26" t="str">
            <v/>
          </cell>
          <cell r="Q26" t="str">
            <v/>
          </cell>
          <cell r="R26">
            <v>1.1200000000000001</v>
          </cell>
          <cell r="S26" t="str">
            <v/>
          </cell>
          <cell r="T26">
            <v>0.96299999999999997</v>
          </cell>
          <cell r="U26" t="str">
            <v/>
          </cell>
          <cell r="V26" t="str">
            <v/>
          </cell>
          <cell r="W26" t="str">
            <v/>
          </cell>
          <cell r="X26" t="str">
            <v/>
          </cell>
          <cell r="Y26">
            <v>0.90300000000000002</v>
          </cell>
          <cell r="Z26">
            <v>0.96399999999999997</v>
          </cell>
          <cell r="AA26">
            <v>1.0329999999999999</v>
          </cell>
          <cell r="AB26">
            <v>1.29</v>
          </cell>
          <cell r="AC26">
            <v>0.96199999999999997</v>
          </cell>
          <cell r="AD26">
            <v>0.92300000000000004</v>
          </cell>
          <cell r="AE26" t="str">
            <v/>
          </cell>
          <cell r="AF26">
            <v>0.93799999999999994</v>
          </cell>
          <cell r="AG26" t="str">
            <v/>
          </cell>
          <cell r="AH26">
            <v>0.94</v>
          </cell>
          <cell r="AI26">
            <v>1.0469999999999999</v>
          </cell>
          <cell r="AJ26" t="str">
            <v/>
          </cell>
          <cell r="AK26">
            <v>0.93300000000000005</v>
          </cell>
          <cell r="AL26" t="str">
            <v/>
          </cell>
          <cell r="AM26">
            <v>1.175</v>
          </cell>
          <cell r="AN26" t="str">
            <v/>
          </cell>
          <cell r="AO26">
            <v>1.0189999999999999</v>
          </cell>
          <cell r="AP26">
            <v>0.97899999999999998</v>
          </cell>
          <cell r="AQ26">
            <v>1.1000000000000001</v>
          </cell>
          <cell r="AR26" t="str">
            <v/>
          </cell>
          <cell r="AS26" t="str">
            <v/>
          </cell>
          <cell r="AT26" t="str">
            <v/>
          </cell>
          <cell r="AU26" t="str">
            <v/>
          </cell>
          <cell r="AV26" t="str">
            <v/>
          </cell>
          <cell r="AW26" t="str">
            <v/>
          </cell>
          <cell r="AX26" t="str">
            <v/>
          </cell>
          <cell r="AY26">
            <v>0.91100000000000003</v>
          </cell>
          <cell r="AZ26" t="str">
            <v/>
          </cell>
          <cell r="BA26">
            <v>1.012</v>
          </cell>
          <cell r="FO26" t="str">
            <v>LA</v>
          </cell>
          <cell r="FP26">
            <v>20</v>
          </cell>
        </row>
        <row r="27">
          <cell r="B27">
            <v>4</v>
          </cell>
          <cell r="C27" t="str">
            <v/>
          </cell>
          <cell r="D27">
            <v>0.95</v>
          </cell>
          <cell r="E27" t="str">
            <v/>
          </cell>
          <cell r="F27">
            <v>1.016</v>
          </cell>
          <cell r="G27" t="str">
            <v/>
          </cell>
          <cell r="H27">
            <v>1.071</v>
          </cell>
          <cell r="I27">
            <v>0.97299999999999998</v>
          </cell>
          <cell r="J27" t="str">
            <v/>
          </cell>
          <cell r="K27" t="str">
            <v/>
          </cell>
          <cell r="L27" t="str">
            <v/>
          </cell>
          <cell r="M27">
            <v>1.1080000000000001</v>
          </cell>
          <cell r="N27" t="str">
            <v/>
          </cell>
          <cell r="O27" t="str">
            <v/>
          </cell>
          <cell r="P27" t="str">
            <v/>
          </cell>
          <cell r="Q27">
            <v>1.0680000000000001</v>
          </cell>
          <cell r="R27">
            <v>1.0389999999999999</v>
          </cell>
          <cell r="S27" t="str">
            <v/>
          </cell>
          <cell r="T27">
            <v>1</v>
          </cell>
          <cell r="U27" t="str">
            <v/>
          </cell>
          <cell r="V27" t="str">
            <v/>
          </cell>
          <cell r="W27">
            <v>1.2090000000000001</v>
          </cell>
          <cell r="X27" t="str">
            <v/>
          </cell>
          <cell r="Y27">
            <v>0.90300000000000002</v>
          </cell>
          <cell r="Z27">
            <v>1.0720000000000001</v>
          </cell>
          <cell r="AA27">
            <v>1.048</v>
          </cell>
          <cell r="AB27">
            <v>1.149</v>
          </cell>
          <cell r="AC27">
            <v>0.97699999999999998</v>
          </cell>
          <cell r="AD27">
            <v>1.375</v>
          </cell>
          <cell r="AE27" t="str">
            <v/>
          </cell>
          <cell r="AF27">
            <v>1.2250000000000001</v>
          </cell>
          <cell r="AG27" t="str">
            <v/>
          </cell>
          <cell r="AH27" t="str">
            <v/>
          </cell>
          <cell r="AI27">
            <v>1.012</v>
          </cell>
          <cell r="AJ27" t="str">
            <v/>
          </cell>
          <cell r="AK27">
            <v>0.99</v>
          </cell>
          <cell r="AL27">
            <v>0.97</v>
          </cell>
          <cell r="AM27" t="str">
            <v/>
          </cell>
          <cell r="AN27" t="str">
            <v/>
          </cell>
          <cell r="AO27">
            <v>0.97899999999999998</v>
          </cell>
          <cell r="AP27" t="str">
            <v/>
          </cell>
          <cell r="AQ27">
            <v>1.54</v>
          </cell>
          <cell r="AR27" t="str">
            <v/>
          </cell>
          <cell r="AS27">
            <v>1.109</v>
          </cell>
          <cell r="AT27">
            <v>1.0249999999999999</v>
          </cell>
          <cell r="AU27" t="str">
            <v/>
          </cell>
          <cell r="AV27" t="str">
            <v/>
          </cell>
          <cell r="AW27" t="str">
            <v/>
          </cell>
          <cell r="AX27" t="str">
            <v/>
          </cell>
          <cell r="AY27">
            <v>0.89</v>
          </cell>
          <cell r="AZ27" t="str">
            <v/>
          </cell>
          <cell r="BA27" t="str">
            <v/>
          </cell>
          <cell r="FO27" t="str">
            <v>MA</v>
          </cell>
          <cell r="FP27">
            <v>21</v>
          </cell>
        </row>
        <row r="28">
          <cell r="B28">
            <v>5</v>
          </cell>
          <cell r="C28" t="str">
            <v/>
          </cell>
          <cell r="D28">
            <v>1.5209999999999999</v>
          </cell>
          <cell r="E28" t="str">
            <v/>
          </cell>
          <cell r="F28">
            <v>1.0389999999999999</v>
          </cell>
          <cell r="G28" t="str">
            <v/>
          </cell>
          <cell r="H28">
            <v>1.0449999999999999</v>
          </cell>
          <cell r="I28">
            <v>0.91</v>
          </cell>
          <cell r="J28" t="str">
            <v/>
          </cell>
          <cell r="K28" t="str">
            <v/>
          </cell>
          <cell r="L28" t="str">
            <v/>
          </cell>
          <cell r="M28">
            <v>0.998</v>
          </cell>
          <cell r="N28" t="str">
            <v/>
          </cell>
          <cell r="O28" t="str">
            <v/>
          </cell>
          <cell r="P28" t="str">
            <v/>
          </cell>
          <cell r="Q28" t="str">
            <v/>
          </cell>
          <cell r="R28">
            <v>0.85</v>
          </cell>
          <cell r="S28" t="str">
            <v/>
          </cell>
          <cell r="T28">
            <v>1.038</v>
          </cell>
          <cell r="U28" t="str">
            <v/>
          </cell>
          <cell r="V28" t="str">
            <v/>
          </cell>
          <cell r="W28">
            <v>0.89400000000000002</v>
          </cell>
          <cell r="X28" t="str">
            <v/>
          </cell>
          <cell r="Y28">
            <v>1.0289999999999999</v>
          </cell>
          <cell r="Z28">
            <v>1.085</v>
          </cell>
          <cell r="AA28">
            <v>0.98699999999999999</v>
          </cell>
          <cell r="AB28" t="str">
            <v/>
          </cell>
          <cell r="AC28" t="str">
            <v/>
          </cell>
          <cell r="AD28">
            <v>0.67100000000000004</v>
          </cell>
          <cell r="AE28" t="str">
            <v/>
          </cell>
          <cell r="AF28" t="str">
            <v/>
          </cell>
          <cell r="AG28" t="str">
            <v/>
          </cell>
          <cell r="AH28">
            <v>1.0289999999999999</v>
          </cell>
          <cell r="AI28" t="str">
            <v/>
          </cell>
          <cell r="AJ28" t="str">
            <v/>
          </cell>
          <cell r="AK28">
            <v>0.84699999999999998</v>
          </cell>
          <cell r="AL28" t="str">
            <v/>
          </cell>
          <cell r="AM28" t="str">
            <v/>
          </cell>
          <cell r="AN28" t="str">
            <v/>
          </cell>
          <cell r="AO28">
            <v>0.93899999999999995</v>
          </cell>
          <cell r="AP28" t="str">
            <v/>
          </cell>
          <cell r="AQ28" t="str">
            <v/>
          </cell>
          <cell r="AR28" t="str">
            <v/>
          </cell>
          <cell r="AS28">
            <v>1.109</v>
          </cell>
          <cell r="AT28">
            <v>0.97499999999999998</v>
          </cell>
          <cell r="AU28" t="str">
            <v/>
          </cell>
          <cell r="AV28">
            <v>1.0880000000000001</v>
          </cell>
          <cell r="AW28" t="str">
            <v/>
          </cell>
          <cell r="AX28" t="str">
            <v/>
          </cell>
          <cell r="AY28" t="str">
            <v/>
          </cell>
          <cell r="AZ28" t="str">
            <v/>
          </cell>
          <cell r="BA28" t="str">
            <v/>
          </cell>
          <cell r="FO28" t="str">
            <v>MD</v>
          </cell>
          <cell r="FP28">
            <v>22</v>
          </cell>
        </row>
        <row r="29">
          <cell r="B29">
            <v>6</v>
          </cell>
          <cell r="C29" t="str">
            <v/>
          </cell>
          <cell r="D29">
            <v>2.2000000000000002</v>
          </cell>
          <cell r="E29" t="str">
            <v/>
          </cell>
          <cell r="F29">
            <v>0.93899999999999995</v>
          </cell>
          <cell r="G29" t="str">
            <v/>
          </cell>
          <cell r="H29">
            <v>0.90700000000000003</v>
          </cell>
          <cell r="I29">
            <v>0.93500000000000005</v>
          </cell>
          <cell r="J29" t="str">
            <v/>
          </cell>
          <cell r="K29" t="str">
            <v/>
          </cell>
          <cell r="L29" t="str">
            <v/>
          </cell>
          <cell r="M29">
            <v>1.337</v>
          </cell>
          <cell r="N29" t="str">
            <v/>
          </cell>
          <cell r="O29" t="str">
            <v/>
          </cell>
          <cell r="P29" t="str">
            <v/>
          </cell>
          <cell r="Q29">
            <v>0.90900000000000003</v>
          </cell>
          <cell r="R29" t="str">
            <v/>
          </cell>
          <cell r="S29" t="str">
            <v/>
          </cell>
          <cell r="T29" t="str">
            <v/>
          </cell>
          <cell r="U29" t="str">
            <v/>
          </cell>
          <cell r="V29">
            <v>1.0940000000000001</v>
          </cell>
          <cell r="W29" t="str">
            <v/>
          </cell>
          <cell r="X29" t="str">
            <v/>
          </cell>
          <cell r="Y29">
            <v>1.175</v>
          </cell>
          <cell r="Z29">
            <v>1.03</v>
          </cell>
          <cell r="AA29" t="str">
            <v/>
          </cell>
          <cell r="AB29" t="str">
            <v/>
          </cell>
          <cell r="AC29" t="str">
            <v/>
          </cell>
          <cell r="AD29">
            <v>0.60399999999999998</v>
          </cell>
          <cell r="AE29" t="str">
            <v/>
          </cell>
          <cell r="AF29" t="str">
            <v/>
          </cell>
          <cell r="AG29" t="str">
            <v/>
          </cell>
          <cell r="AH29" t="str">
            <v/>
          </cell>
          <cell r="AI29" t="str">
            <v/>
          </cell>
          <cell r="AJ29" t="str">
            <v/>
          </cell>
          <cell r="AK29">
            <v>1.0840000000000001</v>
          </cell>
          <cell r="AL29">
            <v>0.91</v>
          </cell>
          <cell r="AM29" t="str">
            <v/>
          </cell>
          <cell r="AN29" t="str">
            <v/>
          </cell>
          <cell r="AO29" t="str">
            <v/>
          </cell>
          <cell r="AP29" t="str">
            <v/>
          </cell>
          <cell r="AQ29" t="str">
            <v/>
          </cell>
          <cell r="AR29" t="str">
            <v/>
          </cell>
          <cell r="AS29">
            <v>0.86199999999999999</v>
          </cell>
          <cell r="AT29">
            <v>0.85499999999999998</v>
          </cell>
          <cell r="AU29" t="str">
            <v/>
          </cell>
          <cell r="AV29">
            <v>1.35</v>
          </cell>
          <cell r="AW29" t="str">
            <v/>
          </cell>
          <cell r="AX29" t="str">
            <v/>
          </cell>
          <cell r="AY29" t="str">
            <v/>
          </cell>
          <cell r="AZ29" t="str">
            <v/>
          </cell>
          <cell r="BA29" t="str">
            <v/>
          </cell>
          <cell r="FO29" t="str">
            <v>ME</v>
          </cell>
          <cell r="FP29">
            <v>23</v>
          </cell>
        </row>
        <row r="30">
          <cell r="B30">
            <v>7</v>
          </cell>
          <cell r="C30" t="str">
            <v/>
          </cell>
          <cell r="D30" t="str">
            <v/>
          </cell>
          <cell r="E30" t="str">
            <v/>
          </cell>
          <cell r="F30" t="str">
            <v/>
          </cell>
          <cell r="G30" t="str">
            <v/>
          </cell>
          <cell r="H30" t="str">
            <v/>
          </cell>
          <cell r="I30">
            <v>0.99</v>
          </cell>
          <cell r="J30" t="str">
            <v/>
          </cell>
          <cell r="K30" t="str">
            <v/>
          </cell>
          <cell r="L30">
            <v>2.105</v>
          </cell>
          <cell r="M30" t="str">
            <v/>
          </cell>
          <cell r="N30" t="str">
            <v/>
          </cell>
          <cell r="O30" t="str">
            <v/>
          </cell>
          <cell r="P30" t="str">
            <v/>
          </cell>
          <cell r="Q30">
            <v>0.98499999999999999</v>
          </cell>
          <cell r="R30">
            <v>0.82499999999999996</v>
          </cell>
          <cell r="S30" t="str">
            <v/>
          </cell>
          <cell r="T30" t="str">
            <v/>
          </cell>
          <cell r="U30" t="str">
            <v/>
          </cell>
          <cell r="V30">
            <v>0.98299999999999998</v>
          </cell>
          <cell r="W30" t="str">
            <v/>
          </cell>
          <cell r="X30" t="str">
            <v/>
          </cell>
          <cell r="Y30" t="str">
            <v/>
          </cell>
          <cell r="Z30" t="str">
            <v/>
          </cell>
          <cell r="AA30" t="str">
            <v/>
          </cell>
          <cell r="AB30" t="str">
            <v/>
          </cell>
          <cell r="AC30" t="str">
            <v/>
          </cell>
          <cell r="AD30" t="str">
            <v/>
          </cell>
          <cell r="AE30" t="str">
            <v/>
          </cell>
          <cell r="AF30" t="str">
            <v/>
          </cell>
          <cell r="AG30" t="str">
            <v/>
          </cell>
          <cell r="AH30" t="str">
            <v/>
          </cell>
          <cell r="AI30" t="str">
            <v/>
          </cell>
          <cell r="AJ30" t="str">
            <v/>
          </cell>
          <cell r="AK30">
            <v>1.0129999999999999</v>
          </cell>
          <cell r="AL30" t="str">
            <v/>
          </cell>
          <cell r="AM30" t="str">
            <v/>
          </cell>
          <cell r="AN30" t="str">
            <v/>
          </cell>
          <cell r="AO30">
            <v>0.91</v>
          </cell>
          <cell r="AP30" t="str">
            <v/>
          </cell>
          <cell r="AQ30" t="str">
            <v/>
          </cell>
          <cell r="AR30" t="str">
            <v/>
          </cell>
          <cell r="AS30" t="str">
            <v/>
          </cell>
          <cell r="AT30">
            <v>0.95399999999999996</v>
          </cell>
          <cell r="AU30" t="str">
            <v/>
          </cell>
          <cell r="AV30">
            <v>1.41</v>
          </cell>
          <cell r="AW30" t="str">
            <v/>
          </cell>
          <cell r="AX30" t="str">
            <v/>
          </cell>
          <cell r="AY30" t="str">
            <v/>
          </cell>
          <cell r="AZ30" t="str">
            <v/>
          </cell>
          <cell r="BA30" t="str">
            <v/>
          </cell>
          <cell r="FO30" t="str">
            <v>MI</v>
          </cell>
          <cell r="FP30">
            <v>24</v>
          </cell>
        </row>
        <row r="31">
          <cell r="B31">
            <v>8</v>
          </cell>
          <cell r="C31" t="str">
            <v/>
          </cell>
          <cell r="D31" t="str">
            <v/>
          </cell>
          <cell r="E31" t="str">
            <v/>
          </cell>
          <cell r="F31" t="str">
            <v/>
          </cell>
          <cell r="G31" t="str">
            <v/>
          </cell>
          <cell r="H31" t="str">
            <v/>
          </cell>
          <cell r="I31">
            <v>1</v>
          </cell>
          <cell r="J31" t="str">
            <v/>
          </cell>
          <cell r="K31" t="str">
            <v/>
          </cell>
          <cell r="L31">
            <v>1.927</v>
          </cell>
          <cell r="M31" t="str">
            <v/>
          </cell>
          <cell r="N31" t="str">
            <v/>
          </cell>
          <cell r="O31" t="str">
            <v/>
          </cell>
          <cell r="P31" t="str">
            <v/>
          </cell>
          <cell r="Q31">
            <v>0.79800000000000004</v>
          </cell>
          <cell r="R31" t="str">
            <v/>
          </cell>
          <cell r="S31" t="str">
            <v/>
          </cell>
          <cell r="T31" t="str">
            <v/>
          </cell>
          <cell r="U31" t="str">
            <v/>
          </cell>
          <cell r="V31">
            <v>0.94499999999999995</v>
          </cell>
          <cell r="W31" t="str">
            <v/>
          </cell>
          <cell r="X31" t="str">
            <v/>
          </cell>
          <cell r="Y31" t="str">
            <v/>
          </cell>
          <cell r="Z31" t="str">
            <v/>
          </cell>
          <cell r="AA31" t="str">
            <v/>
          </cell>
          <cell r="AB31" t="str">
            <v/>
          </cell>
          <cell r="AC31" t="str">
            <v/>
          </cell>
          <cell r="AD31" t="str">
            <v/>
          </cell>
          <cell r="AE31" t="str">
            <v/>
          </cell>
          <cell r="AF31" t="str">
            <v/>
          </cell>
          <cell r="AG31" t="str">
            <v/>
          </cell>
          <cell r="AH31">
            <v>1.08</v>
          </cell>
          <cell r="AI31" t="str">
            <v/>
          </cell>
          <cell r="AJ31" t="str">
            <v/>
          </cell>
          <cell r="AK31">
            <v>1.0469999999999999</v>
          </cell>
          <cell r="AL31">
            <v>1.0409999999999999</v>
          </cell>
          <cell r="AM31" t="str">
            <v/>
          </cell>
          <cell r="AN31" t="str">
            <v/>
          </cell>
          <cell r="AO31" t="str">
            <v/>
          </cell>
          <cell r="AP31" t="str">
            <v/>
          </cell>
          <cell r="AQ31" t="str">
            <v/>
          </cell>
          <cell r="AR31" t="str">
            <v/>
          </cell>
          <cell r="AS31" t="str">
            <v/>
          </cell>
          <cell r="AT31">
            <v>1.0069999999999999</v>
          </cell>
          <cell r="AU31" t="str">
            <v/>
          </cell>
          <cell r="AV31">
            <v>1.8</v>
          </cell>
          <cell r="AW31" t="str">
            <v/>
          </cell>
          <cell r="AX31" t="str">
            <v/>
          </cell>
          <cell r="AY31" t="str">
            <v/>
          </cell>
          <cell r="AZ31" t="str">
            <v/>
          </cell>
          <cell r="BA31" t="str">
            <v/>
          </cell>
          <cell r="FO31" t="str">
            <v>MN</v>
          </cell>
          <cell r="FP31">
            <v>25</v>
          </cell>
        </row>
        <row r="32">
          <cell r="B32">
            <v>9</v>
          </cell>
          <cell r="C32" t="str">
            <v/>
          </cell>
          <cell r="D32" t="str">
            <v/>
          </cell>
          <cell r="E32" t="str">
            <v/>
          </cell>
          <cell r="F32" t="str">
            <v/>
          </cell>
          <cell r="G32" t="str">
            <v/>
          </cell>
          <cell r="H32" t="str">
            <v/>
          </cell>
          <cell r="I32">
            <v>1.03</v>
          </cell>
          <cell r="J32" t="str">
            <v/>
          </cell>
          <cell r="K32" t="str">
            <v/>
          </cell>
          <cell r="L32">
            <v>0.90400000000000003</v>
          </cell>
          <cell r="M32" t="str">
            <v/>
          </cell>
          <cell r="N32" t="str">
            <v/>
          </cell>
          <cell r="O32" t="str">
            <v/>
          </cell>
          <cell r="P32" t="str">
            <v/>
          </cell>
          <cell r="Q32">
            <v>0.78200000000000003</v>
          </cell>
          <cell r="R32" t="str">
            <v/>
          </cell>
          <cell r="S32" t="str">
            <v/>
          </cell>
          <cell r="T32" t="str">
            <v/>
          </cell>
          <cell r="U32" t="str">
            <v/>
          </cell>
          <cell r="V32">
            <v>0.94099999999999995</v>
          </cell>
          <cell r="W32" t="str">
            <v/>
          </cell>
          <cell r="X32" t="str">
            <v/>
          </cell>
          <cell r="Y32" t="str">
            <v/>
          </cell>
          <cell r="Z32" t="str">
            <v/>
          </cell>
          <cell r="AA32" t="str">
            <v/>
          </cell>
          <cell r="AB32" t="str">
            <v/>
          </cell>
          <cell r="AC32" t="str">
            <v/>
          </cell>
          <cell r="AD32" t="str">
            <v/>
          </cell>
          <cell r="AE32" t="str">
            <v/>
          </cell>
          <cell r="AF32" t="str">
            <v/>
          </cell>
          <cell r="AG32" t="str">
            <v/>
          </cell>
          <cell r="AH32">
            <v>0.65300000000000002</v>
          </cell>
          <cell r="AI32" t="str">
            <v/>
          </cell>
          <cell r="AJ32" t="str">
            <v/>
          </cell>
          <cell r="AK32">
            <v>0.98</v>
          </cell>
          <cell r="AL32">
            <v>1.0409999999999999</v>
          </cell>
          <cell r="AM32" t="str">
            <v/>
          </cell>
          <cell r="AN32" t="str">
            <v/>
          </cell>
          <cell r="AO32">
            <v>0.90600000000000003</v>
          </cell>
          <cell r="AP32" t="str">
            <v/>
          </cell>
          <cell r="AQ32" t="str">
            <v/>
          </cell>
          <cell r="AR32" t="str">
            <v/>
          </cell>
          <cell r="AS32" t="str">
            <v/>
          </cell>
          <cell r="AT32">
            <v>0.96799999999999997</v>
          </cell>
          <cell r="AU32" t="str">
            <v/>
          </cell>
          <cell r="AV32">
            <v>1.3480000000000001</v>
          </cell>
          <cell r="AW32" t="str">
            <v/>
          </cell>
          <cell r="AX32" t="str">
            <v/>
          </cell>
          <cell r="AY32" t="str">
            <v/>
          </cell>
          <cell r="AZ32" t="str">
            <v/>
          </cell>
          <cell r="BA32" t="str">
            <v/>
          </cell>
          <cell r="FO32" t="str">
            <v>MO</v>
          </cell>
          <cell r="FP32">
            <v>26</v>
          </cell>
        </row>
        <row r="33">
          <cell r="B33">
            <v>10</v>
          </cell>
          <cell r="C33" t="str">
            <v/>
          </cell>
          <cell r="D33" t="str">
            <v/>
          </cell>
          <cell r="E33" t="str">
            <v/>
          </cell>
          <cell r="F33" t="str">
            <v/>
          </cell>
          <cell r="G33" t="str">
            <v/>
          </cell>
          <cell r="H33" t="str">
            <v/>
          </cell>
          <cell r="I33" t="str">
            <v/>
          </cell>
          <cell r="J33" t="str">
            <v/>
          </cell>
          <cell r="K33" t="str">
            <v/>
          </cell>
          <cell r="L33">
            <v>1.2749999999999999</v>
          </cell>
          <cell r="M33" t="str">
            <v/>
          </cell>
          <cell r="N33" t="str">
            <v/>
          </cell>
          <cell r="O33" t="str">
            <v/>
          </cell>
          <cell r="P33" t="str">
            <v/>
          </cell>
          <cell r="Q33" t="str">
            <v/>
          </cell>
          <cell r="R33" t="str">
            <v/>
          </cell>
          <cell r="S33" t="str">
            <v/>
          </cell>
          <cell r="T33" t="str">
            <v/>
          </cell>
          <cell r="U33" t="str">
            <v/>
          </cell>
          <cell r="V33">
            <v>1.048</v>
          </cell>
          <cell r="W33" t="str">
            <v/>
          </cell>
          <cell r="X33" t="str">
            <v/>
          </cell>
          <cell r="Y33" t="str">
            <v/>
          </cell>
          <cell r="Z33" t="str">
            <v/>
          </cell>
          <cell r="AA33" t="str">
            <v/>
          </cell>
          <cell r="AB33" t="str">
            <v/>
          </cell>
          <cell r="AC33" t="str">
            <v/>
          </cell>
          <cell r="AD33" t="str">
            <v/>
          </cell>
          <cell r="AE33" t="str">
            <v/>
          </cell>
          <cell r="AF33" t="str">
            <v/>
          </cell>
          <cell r="AG33" t="str">
            <v/>
          </cell>
          <cell r="AH33" t="str">
            <v/>
          </cell>
          <cell r="AI33" t="str">
            <v/>
          </cell>
          <cell r="AJ33" t="str">
            <v/>
          </cell>
          <cell r="AK33" t="str">
            <v/>
          </cell>
          <cell r="AL33">
            <v>1.0409999999999999</v>
          </cell>
          <cell r="AM33" t="str">
            <v/>
          </cell>
          <cell r="AN33" t="str">
            <v/>
          </cell>
          <cell r="AO33" t="str">
            <v/>
          </cell>
          <cell r="AP33" t="str">
            <v/>
          </cell>
          <cell r="AQ33" t="str">
            <v/>
          </cell>
          <cell r="AR33" t="str">
            <v/>
          </cell>
          <cell r="AS33" t="str">
            <v/>
          </cell>
          <cell r="AT33">
            <v>1.746</v>
          </cell>
          <cell r="AU33" t="str">
            <v/>
          </cell>
          <cell r="AV33">
            <v>2.35</v>
          </cell>
          <cell r="AW33" t="str">
            <v/>
          </cell>
          <cell r="AX33" t="str">
            <v/>
          </cell>
          <cell r="AY33" t="str">
            <v/>
          </cell>
          <cell r="AZ33" t="str">
            <v/>
          </cell>
          <cell r="BA33" t="str">
            <v/>
          </cell>
          <cell r="FO33" t="str">
            <v>MS</v>
          </cell>
          <cell r="FP33">
            <v>27</v>
          </cell>
        </row>
        <row r="34">
          <cell r="B34">
            <v>11</v>
          </cell>
          <cell r="C34" t="str">
            <v/>
          </cell>
          <cell r="D34" t="str">
            <v/>
          </cell>
          <cell r="E34" t="str">
            <v/>
          </cell>
          <cell r="F34" t="str">
            <v/>
          </cell>
          <cell r="G34" t="str">
            <v/>
          </cell>
          <cell r="H34" t="str">
            <v/>
          </cell>
          <cell r="I34" t="str">
            <v/>
          </cell>
          <cell r="J34" t="str">
            <v/>
          </cell>
          <cell r="K34" t="str">
            <v/>
          </cell>
          <cell r="L34">
            <v>2.7450000000000001</v>
          </cell>
          <cell r="M34" t="str">
            <v/>
          </cell>
          <cell r="N34" t="str">
            <v/>
          </cell>
          <cell r="O34" t="str">
            <v/>
          </cell>
          <cell r="P34" t="str">
            <v/>
          </cell>
          <cell r="Q34" t="str">
            <v/>
          </cell>
          <cell r="R34" t="str">
            <v/>
          </cell>
          <cell r="S34" t="str">
            <v/>
          </cell>
          <cell r="T34" t="str">
            <v/>
          </cell>
          <cell r="U34" t="str">
            <v/>
          </cell>
          <cell r="V34" t="str">
            <v/>
          </cell>
          <cell r="W34" t="str">
            <v/>
          </cell>
          <cell r="X34" t="str">
            <v/>
          </cell>
          <cell r="Y34" t="str">
            <v/>
          </cell>
          <cell r="Z34" t="str">
            <v/>
          </cell>
          <cell r="AA34" t="str">
            <v/>
          </cell>
          <cell r="AB34" t="str">
            <v/>
          </cell>
          <cell r="AC34" t="str">
            <v/>
          </cell>
          <cell r="AD34" t="str">
            <v/>
          </cell>
          <cell r="AE34" t="str">
            <v/>
          </cell>
          <cell r="AF34" t="str">
            <v/>
          </cell>
          <cell r="AG34" t="str">
            <v/>
          </cell>
          <cell r="AH34">
            <v>0.66300000000000003</v>
          </cell>
          <cell r="AI34" t="str">
            <v/>
          </cell>
          <cell r="AJ34" t="str">
            <v/>
          </cell>
          <cell r="AK34">
            <v>1.175</v>
          </cell>
          <cell r="AL34">
            <v>0.84399999999999997</v>
          </cell>
          <cell r="AM34" t="str">
            <v/>
          </cell>
          <cell r="AN34" t="str">
            <v/>
          </cell>
          <cell r="AO34">
            <v>0.94599999999999995</v>
          </cell>
          <cell r="AP34" t="str">
            <v/>
          </cell>
          <cell r="AQ34" t="str">
            <v/>
          </cell>
          <cell r="AR34" t="str">
            <v/>
          </cell>
          <cell r="AS34" t="str">
            <v/>
          </cell>
          <cell r="AT34">
            <v>1.498</v>
          </cell>
          <cell r="AU34" t="str">
            <v/>
          </cell>
          <cell r="AV34">
            <v>2.125</v>
          </cell>
          <cell r="AW34" t="str">
            <v/>
          </cell>
          <cell r="AX34" t="str">
            <v/>
          </cell>
          <cell r="AY34" t="str">
            <v/>
          </cell>
          <cell r="AZ34" t="str">
            <v/>
          </cell>
          <cell r="BA34" t="str">
            <v/>
          </cell>
          <cell r="FO34" t="str">
            <v>MT</v>
          </cell>
          <cell r="FP34">
            <v>28</v>
          </cell>
        </row>
        <row r="35">
          <cell r="B35">
            <v>12</v>
          </cell>
          <cell r="C35" t="str">
            <v/>
          </cell>
          <cell r="D35" t="str">
            <v/>
          </cell>
          <cell r="E35" t="str">
            <v/>
          </cell>
          <cell r="F35" t="str">
            <v/>
          </cell>
          <cell r="G35" t="str">
            <v/>
          </cell>
          <cell r="H35" t="str">
            <v/>
          </cell>
          <cell r="I35" t="str">
            <v/>
          </cell>
          <cell r="J35" t="str">
            <v/>
          </cell>
          <cell r="K35" t="str">
            <v/>
          </cell>
          <cell r="L35">
            <v>3.1629999999999998</v>
          </cell>
          <cell r="M35" t="str">
            <v/>
          </cell>
          <cell r="N35" t="str">
            <v/>
          </cell>
          <cell r="O35" t="str">
            <v/>
          </cell>
          <cell r="P35" t="str">
            <v/>
          </cell>
          <cell r="Q35" t="str">
            <v/>
          </cell>
          <cell r="R35" t="str">
            <v/>
          </cell>
          <cell r="S35" t="str">
            <v/>
          </cell>
          <cell r="T35" t="str">
            <v/>
          </cell>
          <cell r="U35" t="str">
            <v/>
          </cell>
          <cell r="V35" t="str">
            <v/>
          </cell>
          <cell r="W35" t="str">
            <v/>
          </cell>
          <cell r="X35" t="str">
            <v/>
          </cell>
          <cell r="Y35" t="str">
            <v/>
          </cell>
          <cell r="Z35" t="str">
            <v/>
          </cell>
          <cell r="AA35" t="str">
            <v/>
          </cell>
          <cell r="AB35" t="str">
            <v/>
          </cell>
          <cell r="AC35" t="str">
            <v/>
          </cell>
          <cell r="AD35" t="str">
            <v/>
          </cell>
          <cell r="AE35" t="str">
            <v/>
          </cell>
          <cell r="AF35" t="str">
            <v/>
          </cell>
          <cell r="AG35" t="str">
            <v/>
          </cell>
          <cell r="AH35">
            <v>0.66300000000000003</v>
          </cell>
          <cell r="AI35" t="str">
            <v/>
          </cell>
          <cell r="AJ35" t="str">
            <v/>
          </cell>
          <cell r="AK35" t="str">
            <v/>
          </cell>
          <cell r="AL35">
            <v>1.1000000000000001</v>
          </cell>
          <cell r="AM35" t="str">
            <v/>
          </cell>
          <cell r="AN35" t="str">
            <v/>
          </cell>
          <cell r="AO35" t="str">
            <v/>
          </cell>
          <cell r="AP35" t="str">
            <v/>
          </cell>
          <cell r="AQ35" t="str">
            <v/>
          </cell>
          <cell r="AR35" t="str">
            <v/>
          </cell>
          <cell r="AS35" t="str">
            <v/>
          </cell>
          <cell r="AT35">
            <v>1.1060000000000001</v>
          </cell>
          <cell r="AU35" t="str">
            <v/>
          </cell>
          <cell r="AV35">
            <v>0.92500000000000004</v>
          </cell>
          <cell r="AW35" t="str">
            <v/>
          </cell>
          <cell r="AX35" t="str">
            <v/>
          </cell>
          <cell r="AY35" t="str">
            <v/>
          </cell>
          <cell r="AZ35" t="str">
            <v/>
          </cell>
          <cell r="BA35" t="str">
            <v/>
          </cell>
          <cell r="FO35" t="str">
            <v>NC</v>
          </cell>
          <cell r="FP35">
            <v>29</v>
          </cell>
        </row>
        <row r="36">
          <cell r="B36">
            <v>13</v>
          </cell>
          <cell r="C36" t="str">
            <v/>
          </cell>
          <cell r="D36" t="str">
            <v/>
          </cell>
          <cell r="E36" t="str">
            <v/>
          </cell>
          <cell r="F36" t="str">
            <v/>
          </cell>
          <cell r="G36">
            <v>1.3720000000000001</v>
          </cell>
          <cell r="H36" t="str">
            <v/>
          </cell>
          <cell r="I36" t="str">
            <v/>
          </cell>
          <cell r="J36" t="str">
            <v/>
          </cell>
          <cell r="K36" t="str">
            <v/>
          </cell>
          <cell r="L36">
            <v>0.86799999999999999</v>
          </cell>
          <cell r="M36" t="str">
            <v/>
          </cell>
          <cell r="N36" t="str">
            <v/>
          </cell>
          <cell r="O36" t="str">
            <v/>
          </cell>
          <cell r="P36" t="str">
            <v/>
          </cell>
          <cell r="Q36" t="str">
            <v/>
          </cell>
          <cell r="R36" t="str">
            <v/>
          </cell>
          <cell r="S36" t="str">
            <v/>
          </cell>
          <cell r="T36" t="str">
            <v/>
          </cell>
          <cell r="U36" t="str">
            <v/>
          </cell>
          <cell r="V36" t="str">
            <v/>
          </cell>
          <cell r="W36" t="str">
            <v/>
          </cell>
          <cell r="X36" t="str">
            <v/>
          </cell>
          <cell r="Y36" t="str">
            <v/>
          </cell>
          <cell r="Z36" t="str">
            <v/>
          </cell>
          <cell r="AA36" t="str">
            <v/>
          </cell>
          <cell r="AB36" t="str">
            <v/>
          </cell>
          <cell r="AC36" t="str">
            <v/>
          </cell>
          <cell r="AD36" t="str">
            <v/>
          </cell>
          <cell r="AE36" t="str">
            <v/>
          </cell>
          <cell r="AF36" t="str">
            <v/>
          </cell>
          <cell r="AG36" t="str">
            <v/>
          </cell>
          <cell r="AH36">
            <v>0.54</v>
          </cell>
          <cell r="AI36" t="str">
            <v/>
          </cell>
          <cell r="AJ36" t="str">
            <v/>
          </cell>
          <cell r="AK36">
            <v>0.93100000000000005</v>
          </cell>
          <cell r="AL36">
            <v>1.4</v>
          </cell>
          <cell r="AM36" t="str">
            <v/>
          </cell>
          <cell r="AN36" t="str">
            <v/>
          </cell>
          <cell r="AO36" t="str">
            <v/>
          </cell>
          <cell r="AP36" t="str">
            <v/>
          </cell>
          <cell r="AQ36" t="str">
            <v/>
          </cell>
          <cell r="AR36" t="str">
            <v/>
          </cell>
          <cell r="AS36" t="str">
            <v/>
          </cell>
          <cell r="AT36">
            <v>1.3959999999999999</v>
          </cell>
          <cell r="AU36" t="str">
            <v/>
          </cell>
          <cell r="AV36">
            <v>1.1000000000000001</v>
          </cell>
          <cell r="AW36" t="str">
            <v/>
          </cell>
          <cell r="AX36" t="str">
            <v/>
          </cell>
          <cell r="AY36" t="str">
            <v/>
          </cell>
          <cell r="AZ36" t="str">
            <v/>
          </cell>
          <cell r="BA36" t="str">
            <v/>
          </cell>
          <cell r="FO36" t="str">
            <v>ND</v>
          </cell>
          <cell r="FP36">
            <v>30</v>
          </cell>
        </row>
        <row r="37">
          <cell r="B37">
            <v>14</v>
          </cell>
          <cell r="C37" t="str">
            <v/>
          </cell>
          <cell r="D37" t="str">
            <v/>
          </cell>
          <cell r="E37" t="str">
            <v/>
          </cell>
          <cell r="F37" t="str">
            <v/>
          </cell>
          <cell r="G37">
            <v>1.0209999999999999</v>
          </cell>
          <cell r="H37" t="str">
            <v/>
          </cell>
          <cell r="I37" t="str">
            <v/>
          </cell>
          <cell r="J37" t="str">
            <v/>
          </cell>
          <cell r="K37" t="str">
            <v/>
          </cell>
          <cell r="L37">
            <v>2.1880000000000002</v>
          </cell>
          <cell r="M37" t="str">
            <v/>
          </cell>
          <cell r="N37" t="str">
            <v/>
          </cell>
          <cell r="O37" t="str">
            <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cell r="AE37" t="str">
            <v/>
          </cell>
          <cell r="AF37" t="str">
            <v/>
          </cell>
          <cell r="AG37" t="str">
            <v/>
          </cell>
          <cell r="AH37">
            <v>0.81299999999999994</v>
          </cell>
          <cell r="AI37" t="str">
            <v/>
          </cell>
          <cell r="AJ37" t="str">
            <v/>
          </cell>
          <cell r="AK37">
            <v>1.014</v>
          </cell>
          <cell r="AL37">
            <v>0.98299999999999998</v>
          </cell>
          <cell r="AM37" t="str">
            <v/>
          </cell>
          <cell r="AN37" t="str">
            <v/>
          </cell>
          <cell r="AO37">
            <v>0.91400000000000003</v>
          </cell>
          <cell r="AP37" t="str">
            <v/>
          </cell>
          <cell r="AQ37" t="str">
            <v/>
          </cell>
          <cell r="AR37" t="str">
            <v/>
          </cell>
          <cell r="AS37" t="str">
            <v/>
          </cell>
          <cell r="AT37">
            <v>1.417</v>
          </cell>
          <cell r="AU37" t="str">
            <v/>
          </cell>
          <cell r="AV37" t="str">
            <v/>
          </cell>
          <cell r="AW37" t="str">
            <v/>
          </cell>
          <cell r="AX37" t="str">
            <v/>
          </cell>
          <cell r="AY37" t="str">
            <v/>
          </cell>
          <cell r="AZ37" t="str">
            <v/>
          </cell>
          <cell r="BA37" t="str">
            <v/>
          </cell>
          <cell r="FO37" t="str">
            <v>NE</v>
          </cell>
          <cell r="FP37">
            <v>31</v>
          </cell>
        </row>
        <row r="38">
          <cell r="B38">
            <v>15</v>
          </cell>
          <cell r="C38" t="str">
            <v/>
          </cell>
          <cell r="D38" t="str">
            <v/>
          </cell>
          <cell r="E38" t="str">
            <v/>
          </cell>
          <cell r="F38" t="str">
            <v/>
          </cell>
          <cell r="G38">
            <v>0.90100000000000002</v>
          </cell>
          <cell r="H38" t="str">
            <v/>
          </cell>
          <cell r="I38" t="str">
            <v/>
          </cell>
          <cell r="J38" t="str">
            <v/>
          </cell>
          <cell r="K38" t="str">
            <v/>
          </cell>
          <cell r="L38">
            <v>1.4379999999999999</v>
          </cell>
          <cell r="M38" t="str">
            <v/>
          </cell>
          <cell r="N38" t="str">
            <v/>
          </cell>
          <cell r="O38" t="str">
            <v/>
          </cell>
          <cell r="P38" t="str">
            <v/>
          </cell>
          <cell r="Q38">
            <v>0.94099999999999995</v>
          </cell>
          <cell r="R38" t="str">
            <v/>
          </cell>
          <cell r="S38" t="str">
            <v/>
          </cell>
          <cell r="T38" t="str">
            <v/>
          </cell>
          <cell r="U38" t="str">
            <v/>
          </cell>
          <cell r="V38">
            <v>1.0329999999999999</v>
          </cell>
          <cell r="W38" t="str">
            <v/>
          </cell>
          <cell r="X38" t="str">
            <v/>
          </cell>
          <cell r="Y38" t="str">
            <v/>
          </cell>
          <cell r="Z38" t="str">
            <v/>
          </cell>
          <cell r="AA38" t="str">
            <v/>
          </cell>
          <cell r="AB38" t="str">
            <v/>
          </cell>
          <cell r="AC38" t="str">
            <v/>
          </cell>
          <cell r="AD38" t="str">
            <v/>
          </cell>
          <cell r="AE38" t="str">
            <v/>
          </cell>
          <cell r="AF38" t="str">
            <v/>
          </cell>
          <cell r="AG38" t="str">
            <v/>
          </cell>
          <cell r="AH38">
            <v>0.66300000000000003</v>
          </cell>
          <cell r="AI38" t="str">
            <v/>
          </cell>
          <cell r="AJ38" t="str">
            <v/>
          </cell>
          <cell r="AK38">
            <v>1.014</v>
          </cell>
          <cell r="AL38">
            <v>1.054</v>
          </cell>
          <cell r="AM38" t="str">
            <v/>
          </cell>
          <cell r="AN38" t="str">
            <v/>
          </cell>
          <cell r="AO38" t="str">
            <v/>
          </cell>
          <cell r="AP38" t="str">
            <v/>
          </cell>
          <cell r="AQ38" t="str">
            <v/>
          </cell>
          <cell r="AR38" t="str">
            <v/>
          </cell>
          <cell r="AS38" t="str">
            <v/>
          </cell>
          <cell r="AT38">
            <v>2.177</v>
          </cell>
          <cell r="AU38" t="str">
            <v/>
          </cell>
          <cell r="AV38" t="str">
            <v/>
          </cell>
          <cell r="AW38" t="str">
            <v/>
          </cell>
          <cell r="AX38" t="str">
            <v/>
          </cell>
          <cell r="AY38" t="str">
            <v/>
          </cell>
          <cell r="AZ38" t="str">
            <v/>
          </cell>
          <cell r="BA38" t="str">
            <v/>
          </cell>
          <cell r="FO38" t="str">
            <v>NH</v>
          </cell>
          <cell r="FP38">
            <v>32</v>
          </cell>
        </row>
        <row r="39">
          <cell r="B39">
            <v>16</v>
          </cell>
          <cell r="C39" t="str">
            <v/>
          </cell>
          <cell r="D39" t="str">
            <v/>
          </cell>
          <cell r="E39" t="str">
            <v/>
          </cell>
          <cell r="F39" t="str">
            <v/>
          </cell>
          <cell r="G39">
            <v>0.996</v>
          </cell>
          <cell r="H39" t="str">
            <v/>
          </cell>
          <cell r="I39" t="str">
            <v/>
          </cell>
          <cell r="J39" t="str">
            <v/>
          </cell>
          <cell r="K39" t="str">
            <v/>
          </cell>
          <cell r="L39">
            <v>1.194</v>
          </cell>
          <cell r="M39" t="str">
            <v/>
          </cell>
          <cell r="N39" t="str">
            <v/>
          </cell>
          <cell r="O39" t="str">
            <v/>
          </cell>
          <cell r="P39" t="str">
            <v/>
          </cell>
          <cell r="Q39">
            <v>1.2729999999999999</v>
          </cell>
          <cell r="R39" t="str">
            <v/>
          </cell>
          <cell r="S39" t="str">
            <v/>
          </cell>
          <cell r="T39" t="str">
            <v/>
          </cell>
          <cell r="U39" t="str">
            <v/>
          </cell>
          <cell r="V39">
            <v>0.84099999999999997</v>
          </cell>
          <cell r="W39" t="str">
            <v/>
          </cell>
          <cell r="X39" t="str">
            <v/>
          </cell>
          <cell r="Y39" t="str">
            <v/>
          </cell>
          <cell r="Z39" t="str">
            <v/>
          </cell>
          <cell r="AA39" t="str">
            <v/>
          </cell>
          <cell r="AB39" t="str">
            <v/>
          </cell>
          <cell r="AC39" t="str">
            <v/>
          </cell>
          <cell r="AD39" t="str">
            <v/>
          </cell>
          <cell r="AE39" t="str">
            <v/>
          </cell>
          <cell r="AF39" t="str">
            <v/>
          </cell>
          <cell r="AG39" t="str">
            <v/>
          </cell>
          <cell r="AH39">
            <v>0.67800000000000005</v>
          </cell>
          <cell r="AI39" t="str">
            <v/>
          </cell>
          <cell r="AJ39" t="str">
            <v/>
          </cell>
          <cell r="AK39">
            <v>0.94</v>
          </cell>
          <cell r="AL39">
            <v>0.999</v>
          </cell>
          <cell r="AM39" t="str">
            <v/>
          </cell>
          <cell r="AN39" t="str">
            <v/>
          </cell>
          <cell r="AO39">
            <v>0.97499999999999998</v>
          </cell>
          <cell r="AP39" t="str">
            <v/>
          </cell>
          <cell r="AQ39" t="str">
            <v/>
          </cell>
          <cell r="AR39" t="str">
            <v/>
          </cell>
          <cell r="AS39" t="str">
            <v/>
          </cell>
          <cell r="AT39">
            <v>1.714</v>
          </cell>
          <cell r="AU39" t="str">
            <v/>
          </cell>
          <cell r="AV39" t="str">
            <v/>
          </cell>
          <cell r="AW39" t="str">
            <v/>
          </cell>
          <cell r="AX39" t="str">
            <v/>
          </cell>
          <cell r="AY39" t="str">
            <v/>
          </cell>
          <cell r="AZ39" t="str">
            <v/>
          </cell>
          <cell r="BA39" t="str">
            <v/>
          </cell>
          <cell r="FO39" t="str">
            <v>NJ</v>
          </cell>
          <cell r="FP39">
            <v>33</v>
          </cell>
        </row>
        <row r="40">
          <cell r="B40">
            <v>17</v>
          </cell>
          <cell r="C40" t="str">
            <v/>
          </cell>
          <cell r="D40" t="str">
            <v/>
          </cell>
          <cell r="E40" t="str">
            <v/>
          </cell>
          <cell r="F40" t="str">
            <v/>
          </cell>
          <cell r="G40">
            <v>1.387</v>
          </cell>
          <cell r="H40" t="str">
            <v/>
          </cell>
          <cell r="I40" t="str">
            <v/>
          </cell>
          <cell r="J40" t="str">
            <v/>
          </cell>
          <cell r="K40" t="str">
            <v/>
          </cell>
          <cell r="L40">
            <v>0.99299999999999999</v>
          </cell>
          <cell r="M40" t="str">
            <v/>
          </cell>
          <cell r="N40" t="str">
            <v/>
          </cell>
          <cell r="O40" t="str">
            <v/>
          </cell>
          <cell r="P40" t="str">
            <v/>
          </cell>
          <cell r="Q40" t="str">
            <v/>
          </cell>
          <cell r="R40" t="str">
            <v/>
          </cell>
          <cell r="S40" t="str">
            <v/>
          </cell>
          <cell r="T40" t="str">
            <v/>
          </cell>
          <cell r="U40" t="str">
            <v/>
          </cell>
          <cell r="V40">
            <v>0.91100000000000003</v>
          </cell>
          <cell r="W40" t="str">
            <v/>
          </cell>
          <cell r="X40" t="str">
            <v/>
          </cell>
          <cell r="Y40" t="str">
            <v/>
          </cell>
          <cell r="Z40" t="str">
            <v/>
          </cell>
          <cell r="AA40" t="str">
            <v/>
          </cell>
          <cell r="AB40" t="str">
            <v/>
          </cell>
          <cell r="AC40" t="str">
            <v/>
          </cell>
          <cell r="AD40" t="str">
            <v/>
          </cell>
          <cell r="AE40" t="str">
            <v/>
          </cell>
          <cell r="AF40" t="str">
            <v/>
          </cell>
          <cell r="AG40" t="str">
            <v/>
          </cell>
          <cell r="AH40">
            <v>1.026</v>
          </cell>
          <cell r="AI40" t="str">
            <v/>
          </cell>
          <cell r="AJ40" t="str">
            <v/>
          </cell>
          <cell r="AK40">
            <v>0.91300000000000003</v>
          </cell>
          <cell r="AL40">
            <v>0.98899999999999999</v>
          </cell>
          <cell r="AM40" t="str">
            <v/>
          </cell>
          <cell r="AN40" t="str">
            <v/>
          </cell>
          <cell r="AO40">
            <v>1.0620000000000001</v>
          </cell>
          <cell r="AP40" t="str">
            <v/>
          </cell>
          <cell r="AQ40" t="str">
            <v/>
          </cell>
          <cell r="AR40" t="str">
            <v/>
          </cell>
          <cell r="AS40" t="str">
            <v/>
          </cell>
          <cell r="AT40" t="str">
            <v/>
          </cell>
          <cell r="AU40" t="str">
            <v/>
          </cell>
          <cell r="AV40" t="str">
            <v/>
          </cell>
          <cell r="AW40" t="str">
            <v/>
          </cell>
          <cell r="AX40" t="str">
            <v/>
          </cell>
          <cell r="AY40" t="str">
            <v/>
          </cell>
          <cell r="AZ40" t="str">
            <v/>
          </cell>
          <cell r="BA40" t="str">
            <v/>
          </cell>
          <cell r="FO40" t="str">
            <v>NM</v>
          </cell>
          <cell r="FP40">
            <v>34</v>
          </cell>
        </row>
        <row r="41">
          <cell r="B41">
            <v>18</v>
          </cell>
          <cell r="C41" t="str">
            <v/>
          </cell>
          <cell r="D41" t="str">
            <v/>
          </cell>
          <cell r="E41" t="str">
            <v/>
          </cell>
          <cell r="F41" t="str">
            <v/>
          </cell>
          <cell r="G41">
            <v>1.0860000000000001</v>
          </cell>
          <cell r="H41" t="str">
            <v/>
          </cell>
          <cell r="I41" t="str">
            <v/>
          </cell>
          <cell r="J41" t="str">
            <v/>
          </cell>
          <cell r="K41" t="str">
            <v/>
          </cell>
          <cell r="L41" t="str">
            <v/>
          </cell>
          <cell r="M41" t="str">
            <v/>
          </cell>
          <cell r="N41" t="str">
            <v/>
          </cell>
          <cell r="O41" t="str">
            <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cell r="AE41" t="str">
            <v/>
          </cell>
          <cell r="AF41" t="str">
            <v/>
          </cell>
          <cell r="AG41" t="str">
            <v/>
          </cell>
          <cell r="AH41">
            <v>1.3620000000000001</v>
          </cell>
          <cell r="AI41" t="str">
            <v/>
          </cell>
          <cell r="AJ41" t="str">
            <v/>
          </cell>
          <cell r="AK41" t="str">
            <v/>
          </cell>
          <cell r="AL41">
            <v>1.0409999999999999</v>
          </cell>
          <cell r="AM41" t="str">
            <v/>
          </cell>
          <cell r="AN41" t="str">
            <v/>
          </cell>
          <cell r="AO41">
            <v>0.91</v>
          </cell>
          <cell r="AP41" t="str">
            <v/>
          </cell>
          <cell r="AQ41" t="str">
            <v/>
          </cell>
          <cell r="AR41" t="str">
            <v/>
          </cell>
          <cell r="AS41" t="str">
            <v/>
          </cell>
          <cell r="AT41" t="str">
            <v/>
          </cell>
          <cell r="AU41" t="str">
            <v/>
          </cell>
          <cell r="AV41" t="str">
            <v/>
          </cell>
          <cell r="AW41" t="str">
            <v/>
          </cell>
          <cell r="AX41" t="str">
            <v/>
          </cell>
          <cell r="AY41" t="str">
            <v/>
          </cell>
          <cell r="AZ41" t="str">
            <v/>
          </cell>
          <cell r="BA41" t="str">
            <v/>
          </cell>
          <cell r="FO41" t="str">
            <v>NV</v>
          </cell>
          <cell r="FP41">
            <v>35</v>
          </cell>
        </row>
        <row r="42">
          <cell r="B42">
            <v>19</v>
          </cell>
          <cell r="C42" t="str">
            <v/>
          </cell>
          <cell r="D42" t="str">
            <v/>
          </cell>
          <cell r="E42" t="str">
            <v/>
          </cell>
          <cell r="F42" t="str">
            <v/>
          </cell>
          <cell r="G42">
            <v>1.0609999999999999</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U42" t="str">
            <v/>
          </cell>
          <cell r="V42" t="str">
            <v/>
          </cell>
          <cell r="W42" t="str">
            <v/>
          </cell>
          <cell r="X42" t="str">
            <v/>
          </cell>
          <cell r="Y42" t="str">
            <v/>
          </cell>
          <cell r="Z42" t="str">
            <v/>
          </cell>
          <cell r="AA42" t="str">
            <v/>
          </cell>
          <cell r="AB42" t="str">
            <v/>
          </cell>
          <cell r="AC42" t="str">
            <v/>
          </cell>
          <cell r="AD42" t="str">
            <v/>
          </cell>
          <cell r="AE42" t="str">
            <v/>
          </cell>
          <cell r="AF42" t="str">
            <v/>
          </cell>
          <cell r="AG42" t="str">
            <v/>
          </cell>
          <cell r="AH42">
            <v>0.68899999999999995</v>
          </cell>
          <cell r="AI42" t="str">
            <v/>
          </cell>
          <cell r="AJ42" t="str">
            <v/>
          </cell>
          <cell r="AK42">
            <v>1.008</v>
          </cell>
          <cell r="AL42" t="str">
            <v/>
          </cell>
          <cell r="AM42" t="str">
            <v/>
          </cell>
          <cell r="AN42" t="str">
            <v/>
          </cell>
          <cell r="AO42">
            <v>1.0620000000000001</v>
          </cell>
          <cell r="AP42" t="str">
            <v/>
          </cell>
          <cell r="AQ42" t="str">
            <v/>
          </cell>
          <cell r="AR42" t="str">
            <v/>
          </cell>
          <cell r="AS42" t="str">
            <v/>
          </cell>
          <cell r="AT42" t="str">
            <v/>
          </cell>
          <cell r="AU42" t="str">
            <v/>
          </cell>
          <cell r="AV42" t="str">
            <v/>
          </cell>
          <cell r="AW42" t="str">
            <v/>
          </cell>
          <cell r="AX42" t="str">
            <v/>
          </cell>
          <cell r="AY42" t="str">
            <v/>
          </cell>
          <cell r="AZ42" t="str">
            <v/>
          </cell>
          <cell r="BA42" t="str">
            <v/>
          </cell>
          <cell r="FO42" t="str">
            <v>NY</v>
          </cell>
          <cell r="FP42">
            <v>36</v>
          </cell>
        </row>
        <row r="43">
          <cell r="B43">
            <v>20</v>
          </cell>
          <cell r="C43" t="str">
            <v/>
          </cell>
          <cell r="D43" t="str">
            <v/>
          </cell>
          <cell r="E43" t="str">
            <v/>
          </cell>
          <cell r="F43" t="str">
            <v/>
          </cell>
          <cell r="G43">
            <v>1.403</v>
          </cell>
          <cell r="H43" t="str">
            <v/>
          </cell>
          <cell r="I43" t="str">
            <v/>
          </cell>
          <cell r="J43" t="str">
            <v/>
          </cell>
          <cell r="K43" t="str">
            <v/>
          </cell>
          <cell r="L43" t="str">
            <v/>
          </cell>
          <cell r="M43" t="str">
            <v/>
          </cell>
          <cell r="N43" t="str">
            <v/>
          </cell>
          <cell r="O43" t="str">
            <v/>
          </cell>
          <cell r="P43" t="str">
            <v/>
          </cell>
          <cell r="Q43" t="str">
            <v/>
          </cell>
          <cell r="R43" t="str">
            <v/>
          </cell>
          <cell r="S43" t="str">
            <v/>
          </cell>
          <cell r="T43" t="str">
            <v/>
          </cell>
          <cell r="U43" t="str">
            <v/>
          </cell>
          <cell r="V43" t="str">
            <v/>
          </cell>
          <cell r="W43" t="str">
            <v/>
          </cell>
          <cell r="X43" t="str">
            <v/>
          </cell>
          <cell r="Y43" t="str">
            <v/>
          </cell>
          <cell r="Z43" t="str">
            <v/>
          </cell>
          <cell r="AA43" t="str">
            <v/>
          </cell>
          <cell r="AB43" t="str">
            <v/>
          </cell>
          <cell r="AC43" t="str">
            <v/>
          </cell>
          <cell r="AD43" t="str">
            <v/>
          </cell>
          <cell r="AE43" t="str">
            <v/>
          </cell>
          <cell r="AF43" t="str">
            <v/>
          </cell>
          <cell r="AG43" t="str">
            <v/>
          </cell>
          <cell r="AH43" t="str">
            <v/>
          </cell>
          <cell r="AI43" t="str">
            <v/>
          </cell>
          <cell r="AJ43" t="str">
            <v/>
          </cell>
          <cell r="AK43">
            <v>1.6060000000000001</v>
          </cell>
          <cell r="AL43" t="str">
            <v/>
          </cell>
          <cell r="AM43" t="str">
            <v/>
          </cell>
          <cell r="AN43" t="str">
            <v/>
          </cell>
          <cell r="AO43">
            <v>0.94599999999999995</v>
          </cell>
          <cell r="AP43" t="str">
            <v/>
          </cell>
          <cell r="AQ43" t="str">
            <v/>
          </cell>
          <cell r="AR43" t="str">
            <v/>
          </cell>
          <cell r="AS43" t="str">
            <v/>
          </cell>
          <cell r="AT43" t="str">
            <v/>
          </cell>
          <cell r="AU43" t="str">
            <v/>
          </cell>
          <cell r="AV43" t="str">
            <v/>
          </cell>
          <cell r="AW43" t="str">
            <v/>
          </cell>
          <cell r="AX43" t="str">
            <v/>
          </cell>
          <cell r="AY43" t="str">
            <v/>
          </cell>
          <cell r="AZ43" t="str">
            <v/>
          </cell>
          <cell r="BA43" t="str">
            <v/>
          </cell>
          <cell r="FO43" t="str">
            <v>OH</v>
          </cell>
          <cell r="FP43">
            <v>37</v>
          </cell>
        </row>
        <row r="44">
          <cell r="B44">
            <v>21</v>
          </cell>
          <cell r="C44" t="str">
            <v/>
          </cell>
          <cell r="D44" t="str">
            <v/>
          </cell>
          <cell r="E44" t="str">
            <v/>
          </cell>
          <cell r="F44" t="str">
            <v/>
          </cell>
          <cell r="G44">
            <v>1.3180000000000001</v>
          </cell>
          <cell r="H44" t="str">
            <v/>
          </cell>
          <cell r="I44" t="str">
            <v/>
          </cell>
          <cell r="J44" t="str">
            <v/>
          </cell>
          <cell r="K44" t="str">
            <v/>
          </cell>
          <cell r="L44" t="str">
            <v/>
          </cell>
          <cell r="M44" t="str">
            <v/>
          </cell>
          <cell r="N44" t="str">
            <v/>
          </cell>
          <cell r="O44" t="str">
            <v/>
          </cell>
          <cell r="P44" t="str">
            <v/>
          </cell>
          <cell r="Q44" t="str">
            <v/>
          </cell>
          <cell r="R44" t="str">
            <v/>
          </cell>
          <cell r="S44" t="str">
            <v/>
          </cell>
          <cell r="T44" t="str">
            <v/>
          </cell>
          <cell r="U44" t="str">
            <v/>
          </cell>
          <cell r="V44" t="str">
            <v/>
          </cell>
          <cell r="W44" t="str">
            <v/>
          </cell>
          <cell r="X44" t="str">
            <v/>
          </cell>
          <cell r="Y44" t="str">
            <v/>
          </cell>
          <cell r="Z44" t="str">
            <v/>
          </cell>
          <cell r="AA44" t="str">
            <v/>
          </cell>
          <cell r="AB44" t="str">
            <v/>
          </cell>
          <cell r="AC44" t="str">
            <v/>
          </cell>
          <cell r="AD44" t="str">
            <v/>
          </cell>
          <cell r="AE44" t="str">
            <v/>
          </cell>
          <cell r="AF44" t="str">
            <v/>
          </cell>
          <cell r="AG44" t="str">
            <v/>
          </cell>
          <cell r="AH44">
            <v>1.0640000000000001</v>
          </cell>
          <cell r="AI44" t="str">
            <v/>
          </cell>
          <cell r="AJ44" t="str">
            <v/>
          </cell>
          <cell r="AK44">
            <v>1.008</v>
          </cell>
          <cell r="AL44" t="str">
            <v/>
          </cell>
          <cell r="AM44" t="str">
            <v/>
          </cell>
          <cell r="AN44" t="str">
            <v/>
          </cell>
          <cell r="AO44" t="str">
            <v/>
          </cell>
          <cell r="AP44" t="str">
            <v/>
          </cell>
          <cell r="AQ44" t="str">
            <v/>
          </cell>
          <cell r="AR44" t="str">
            <v/>
          </cell>
          <cell r="AS44" t="str">
            <v/>
          </cell>
          <cell r="AT44" t="str">
            <v/>
          </cell>
          <cell r="AU44" t="str">
            <v/>
          </cell>
          <cell r="AV44" t="str">
            <v/>
          </cell>
          <cell r="AW44" t="str">
            <v/>
          </cell>
          <cell r="AX44" t="str">
            <v/>
          </cell>
          <cell r="AY44" t="str">
            <v/>
          </cell>
          <cell r="AZ44" t="str">
            <v/>
          </cell>
          <cell r="BA44" t="str">
            <v/>
          </cell>
          <cell r="FO44" t="str">
            <v>OK</v>
          </cell>
          <cell r="FP44">
            <v>38</v>
          </cell>
        </row>
        <row r="45">
          <cell r="B45">
            <v>22</v>
          </cell>
          <cell r="C45" t="str">
            <v/>
          </cell>
          <cell r="D45" t="str">
            <v/>
          </cell>
          <cell r="E45" t="str">
            <v/>
          </cell>
          <cell r="F45" t="str">
            <v/>
          </cell>
          <cell r="G45">
            <v>0.80600000000000005</v>
          </cell>
          <cell r="H45" t="str">
            <v/>
          </cell>
          <cell r="I45" t="str">
            <v/>
          </cell>
          <cell r="J45" t="str">
            <v/>
          </cell>
          <cell r="K45" t="str">
            <v/>
          </cell>
          <cell r="L45" t="str">
            <v/>
          </cell>
          <cell r="M45" t="str">
            <v/>
          </cell>
          <cell r="N45" t="str">
            <v/>
          </cell>
          <cell r="O45" t="str">
            <v/>
          </cell>
          <cell r="P45" t="str">
            <v/>
          </cell>
          <cell r="Q45" t="str">
            <v/>
          </cell>
          <cell r="R45" t="str">
            <v/>
          </cell>
          <cell r="S45" t="str">
            <v/>
          </cell>
          <cell r="T45" t="str">
            <v/>
          </cell>
          <cell r="U45" t="str">
            <v/>
          </cell>
          <cell r="V45" t="str">
            <v/>
          </cell>
          <cell r="W45" t="str">
            <v/>
          </cell>
          <cell r="X45" t="str">
            <v/>
          </cell>
          <cell r="Y45" t="str">
            <v/>
          </cell>
          <cell r="Z45" t="str">
            <v/>
          </cell>
          <cell r="AA45" t="str">
            <v/>
          </cell>
          <cell r="AB45" t="str">
            <v/>
          </cell>
          <cell r="AC45" t="str">
            <v/>
          </cell>
          <cell r="AD45" t="str">
            <v/>
          </cell>
          <cell r="AE45" t="str">
            <v/>
          </cell>
          <cell r="AF45" t="str">
            <v/>
          </cell>
          <cell r="AG45" t="str">
            <v/>
          </cell>
          <cell r="AH45">
            <v>2.1030000000000002</v>
          </cell>
          <cell r="AI45" t="str">
            <v/>
          </cell>
          <cell r="AJ45" t="str">
            <v/>
          </cell>
          <cell r="AK45" t="str">
            <v/>
          </cell>
          <cell r="AL45" t="str">
            <v/>
          </cell>
          <cell r="AM45" t="str">
            <v/>
          </cell>
          <cell r="AN45" t="str">
            <v/>
          </cell>
          <cell r="AO45" t="str">
            <v/>
          </cell>
          <cell r="AP45" t="str">
            <v/>
          </cell>
          <cell r="AQ45" t="str">
            <v/>
          </cell>
          <cell r="AR45" t="str">
            <v/>
          </cell>
          <cell r="AS45" t="str">
            <v/>
          </cell>
          <cell r="AT45" t="str">
            <v/>
          </cell>
          <cell r="AU45" t="str">
            <v/>
          </cell>
          <cell r="AV45" t="str">
            <v/>
          </cell>
          <cell r="AW45" t="str">
            <v/>
          </cell>
          <cell r="AX45" t="str">
            <v/>
          </cell>
          <cell r="AY45" t="str">
            <v/>
          </cell>
          <cell r="AZ45" t="str">
            <v/>
          </cell>
          <cell r="BA45" t="str">
            <v/>
          </cell>
          <cell r="FO45" t="str">
            <v>OR</v>
          </cell>
          <cell r="FP45">
            <v>39</v>
          </cell>
        </row>
        <row r="46">
          <cell r="B46">
            <v>23</v>
          </cell>
          <cell r="C46" t="str">
            <v/>
          </cell>
          <cell r="D46" t="str">
            <v/>
          </cell>
          <cell r="E46" t="str">
            <v/>
          </cell>
          <cell r="F46" t="str">
            <v/>
          </cell>
          <cell r="G46">
            <v>1.056</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U46" t="str">
            <v/>
          </cell>
          <cell r="V46" t="str">
            <v/>
          </cell>
          <cell r="W46" t="str">
            <v/>
          </cell>
          <cell r="X46" t="str">
            <v/>
          </cell>
          <cell r="Y46" t="str">
            <v/>
          </cell>
          <cell r="Z46" t="str">
            <v/>
          </cell>
          <cell r="AA46" t="str">
            <v/>
          </cell>
          <cell r="AB46" t="str">
            <v/>
          </cell>
          <cell r="AC46" t="str">
            <v/>
          </cell>
          <cell r="AD46" t="str">
            <v/>
          </cell>
          <cell r="AE46" t="str">
            <v/>
          </cell>
          <cell r="AF46" t="str">
            <v/>
          </cell>
          <cell r="AG46" t="str">
            <v/>
          </cell>
          <cell r="AH46" t="str">
            <v/>
          </cell>
          <cell r="AI46" t="str">
            <v/>
          </cell>
          <cell r="AJ46" t="str">
            <v/>
          </cell>
          <cell r="AK46" t="str">
            <v/>
          </cell>
          <cell r="AL46" t="str">
            <v/>
          </cell>
          <cell r="AM46" t="str">
            <v/>
          </cell>
          <cell r="AN46" t="str">
            <v/>
          </cell>
          <cell r="AO46" t="str">
            <v/>
          </cell>
          <cell r="AP46" t="str">
            <v/>
          </cell>
          <cell r="AQ46" t="str">
            <v/>
          </cell>
          <cell r="AR46" t="str">
            <v/>
          </cell>
          <cell r="AS46" t="str">
            <v/>
          </cell>
          <cell r="AT46" t="str">
            <v/>
          </cell>
          <cell r="AU46" t="str">
            <v/>
          </cell>
          <cell r="AV46" t="str">
            <v/>
          </cell>
          <cell r="AW46" t="str">
            <v/>
          </cell>
          <cell r="AX46" t="str">
            <v/>
          </cell>
          <cell r="AY46" t="str">
            <v/>
          </cell>
          <cell r="AZ46" t="str">
            <v/>
          </cell>
          <cell r="BA46" t="str">
            <v/>
          </cell>
          <cell r="FO46" t="str">
            <v>PA</v>
          </cell>
          <cell r="FP46">
            <v>40</v>
          </cell>
        </row>
        <row r="47">
          <cell r="B47">
            <v>24</v>
          </cell>
          <cell r="C47" t="str">
            <v/>
          </cell>
          <cell r="D47" t="str">
            <v/>
          </cell>
          <cell r="E47" t="str">
            <v/>
          </cell>
          <cell r="F47" t="str">
            <v/>
          </cell>
          <cell r="G47">
            <v>0.91</v>
          </cell>
          <cell r="H47" t="str">
            <v/>
          </cell>
          <cell r="I47" t="str">
            <v/>
          </cell>
          <cell r="J47" t="str">
            <v/>
          </cell>
          <cell r="K47" t="str">
            <v/>
          </cell>
          <cell r="L47" t="str">
            <v/>
          </cell>
          <cell r="M47" t="str">
            <v/>
          </cell>
          <cell r="N47" t="str">
            <v/>
          </cell>
          <cell r="O47" t="str">
            <v/>
          </cell>
          <cell r="P47" t="str">
            <v/>
          </cell>
          <cell r="Q47" t="str">
            <v/>
          </cell>
          <cell r="R47" t="str">
            <v/>
          </cell>
          <cell r="S47" t="str">
            <v/>
          </cell>
          <cell r="T47" t="str">
            <v/>
          </cell>
          <cell r="U47" t="str">
            <v/>
          </cell>
          <cell r="V47" t="str">
            <v/>
          </cell>
          <cell r="W47" t="str">
            <v/>
          </cell>
          <cell r="X47" t="str">
            <v/>
          </cell>
          <cell r="Y47" t="str">
            <v/>
          </cell>
          <cell r="Z47" t="str">
            <v/>
          </cell>
          <cell r="AA47" t="str">
            <v/>
          </cell>
          <cell r="AB47" t="str">
            <v/>
          </cell>
          <cell r="AC47" t="str">
            <v/>
          </cell>
          <cell r="AD47" t="str">
            <v/>
          </cell>
          <cell r="AE47" t="str">
            <v/>
          </cell>
          <cell r="AF47" t="str">
            <v/>
          </cell>
          <cell r="AG47" t="str">
            <v/>
          </cell>
          <cell r="AH47" t="str">
            <v/>
          </cell>
          <cell r="AI47" t="str">
            <v/>
          </cell>
          <cell r="AJ47" t="str">
            <v/>
          </cell>
          <cell r="AK47" t="str">
            <v/>
          </cell>
          <cell r="AL47" t="str">
            <v/>
          </cell>
          <cell r="AM47" t="str">
            <v/>
          </cell>
          <cell r="AN47" t="str">
            <v/>
          </cell>
          <cell r="AO47" t="str">
            <v/>
          </cell>
          <cell r="AP47" t="str">
            <v/>
          </cell>
          <cell r="AQ47" t="str">
            <v/>
          </cell>
          <cell r="AR47" t="str">
            <v/>
          </cell>
          <cell r="AS47" t="str">
            <v/>
          </cell>
          <cell r="AT47" t="str">
            <v/>
          </cell>
          <cell r="AU47" t="str">
            <v/>
          </cell>
          <cell r="AV47" t="str">
            <v/>
          </cell>
          <cell r="AW47" t="str">
            <v/>
          </cell>
          <cell r="AX47" t="str">
            <v/>
          </cell>
          <cell r="AY47" t="str">
            <v/>
          </cell>
          <cell r="AZ47" t="str">
            <v/>
          </cell>
          <cell r="BA47" t="str">
            <v/>
          </cell>
          <cell r="FO47" t="str">
            <v>RI</v>
          </cell>
          <cell r="FP47">
            <v>41</v>
          </cell>
        </row>
        <row r="48">
          <cell r="B48">
            <v>25</v>
          </cell>
          <cell r="C48" t="str">
            <v/>
          </cell>
          <cell r="D48" t="str">
            <v/>
          </cell>
          <cell r="E48" t="str">
            <v/>
          </cell>
          <cell r="F48" t="str">
            <v/>
          </cell>
          <cell r="G48">
            <v>1.165</v>
          </cell>
          <cell r="H48" t="str">
            <v/>
          </cell>
          <cell r="I48" t="str">
            <v/>
          </cell>
          <cell r="J48" t="str">
            <v/>
          </cell>
          <cell r="K48" t="str">
            <v/>
          </cell>
          <cell r="L48" t="str">
            <v/>
          </cell>
          <cell r="M48" t="str">
            <v/>
          </cell>
          <cell r="N48" t="str">
            <v/>
          </cell>
          <cell r="O48" t="str">
            <v/>
          </cell>
          <cell r="P48" t="str">
            <v/>
          </cell>
          <cell r="Q48" t="str">
            <v/>
          </cell>
          <cell r="R48" t="str">
            <v/>
          </cell>
          <cell r="S48" t="str">
            <v/>
          </cell>
          <cell r="T48" t="str">
            <v/>
          </cell>
          <cell r="U48" t="str">
            <v/>
          </cell>
          <cell r="V48" t="str">
            <v/>
          </cell>
          <cell r="W48" t="str">
            <v/>
          </cell>
          <cell r="X48" t="str">
            <v/>
          </cell>
          <cell r="Y48" t="str">
            <v/>
          </cell>
          <cell r="Z48" t="str">
            <v/>
          </cell>
          <cell r="AA48" t="str">
            <v/>
          </cell>
          <cell r="AB48" t="str">
            <v/>
          </cell>
          <cell r="AC48" t="str">
            <v/>
          </cell>
          <cell r="AD48" t="str">
            <v/>
          </cell>
          <cell r="AE48" t="str">
            <v/>
          </cell>
          <cell r="AF48" t="str">
            <v/>
          </cell>
          <cell r="AG48" t="str">
            <v/>
          </cell>
          <cell r="AH48" t="str">
            <v/>
          </cell>
          <cell r="AI48" t="str">
            <v/>
          </cell>
          <cell r="AJ48" t="str">
            <v/>
          </cell>
          <cell r="AK48" t="str">
            <v/>
          </cell>
          <cell r="AL48" t="str">
            <v/>
          </cell>
          <cell r="AM48" t="str">
            <v/>
          </cell>
          <cell r="AN48" t="str">
            <v/>
          </cell>
          <cell r="AO48" t="str">
            <v/>
          </cell>
          <cell r="AP48" t="str">
            <v/>
          </cell>
          <cell r="AQ48" t="str">
            <v/>
          </cell>
          <cell r="AR48" t="str">
            <v/>
          </cell>
          <cell r="AS48" t="str">
            <v/>
          </cell>
          <cell r="AT48" t="str">
            <v/>
          </cell>
          <cell r="AU48" t="str">
            <v/>
          </cell>
          <cell r="AV48" t="str">
            <v/>
          </cell>
          <cell r="AW48" t="str">
            <v/>
          </cell>
          <cell r="AX48" t="str">
            <v/>
          </cell>
          <cell r="AY48" t="str">
            <v/>
          </cell>
          <cell r="AZ48" t="str">
            <v/>
          </cell>
          <cell r="BA48" t="str">
            <v/>
          </cell>
          <cell r="FO48" t="str">
            <v>SC</v>
          </cell>
          <cell r="FP48">
            <v>42</v>
          </cell>
        </row>
        <row r="49">
          <cell r="B49">
            <v>26</v>
          </cell>
          <cell r="C49" t="str">
            <v/>
          </cell>
          <cell r="D49" t="str">
            <v/>
          </cell>
          <cell r="E49" t="str">
            <v/>
          </cell>
          <cell r="F49" t="str">
            <v/>
          </cell>
          <cell r="G49">
            <v>0.78600000000000003</v>
          </cell>
          <cell r="H49" t="str">
            <v/>
          </cell>
          <cell r="I49" t="str">
            <v/>
          </cell>
          <cell r="J49" t="str">
            <v/>
          </cell>
          <cell r="K49" t="str">
            <v/>
          </cell>
          <cell r="L49" t="str">
            <v/>
          </cell>
          <cell r="M49" t="str">
            <v/>
          </cell>
          <cell r="N49" t="str">
            <v/>
          </cell>
          <cell r="O49" t="str">
            <v/>
          </cell>
          <cell r="P49" t="str">
            <v/>
          </cell>
          <cell r="Q49" t="str">
            <v/>
          </cell>
          <cell r="R49" t="str">
            <v/>
          </cell>
          <cell r="S49" t="str">
            <v/>
          </cell>
          <cell r="T49" t="str">
            <v/>
          </cell>
          <cell r="U49" t="str">
            <v/>
          </cell>
          <cell r="V49" t="str">
            <v/>
          </cell>
          <cell r="W49" t="str">
            <v/>
          </cell>
          <cell r="X49" t="str">
            <v/>
          </cell>
          <cell r="Y49" t="str">
            <v/>
          </cell>
          <cell r="Z49" t="str">
            <v/>
          </cell>
          <cell r="AA49" t="str">
            <v/>
          </cell>
          <cell r="AB49" t="str">
            <v/>
          </cell>
          <cell r="AC49" t="str">
            <v/>
          </cell>
          <cell r="AD49" t="str">
            <v/>
          </cell>
          <cell r="AE49" t="str">
            <v/>
          </cell>
          <cell r="AF49" t="str">
            <v/>
          </cell>
          <cell r="AG49" t="str">
            <v/>
          </cell>
          <cell r="AH49" t="str">
            <v/>
          </cell>
          <cell r="AI49" t="str">
            <v/>
          </cell>
          <cell r="AJ49" t="str">
            <v/>
          </cell>
          <cell r="AK49" t="str">
            <v/>
          </cell>
          <cell r="AL49" t="str">
            <v/>
          </cell>
          <cell r="AM49" t="str">
            <v/>
          </cell>
          <cell r="AN49" t="str">
            <v/>
          </cell>
          <cell r="AO49" t="str">
            <v/>
          </cell>
          <cell r="AP49" t="str">
            <v/>
          </cell>
          <cell r="AQ49" t="str">
            <v/>
          </cell>
          <cell r="AR49" t="str">
            <v/>
          </cell>
          <cell r="AS49" t="str">
            <v/>
          </cell>
          <cell r="AT49" t="str">
            <v/>
          </cell>
          <cell r="AU49" t="str">
            <v/>
          </cell>
          <cell r="AV49" t="str">
            <v/>
          </cell>
          <cell r="AW49" t="str">
            <v/>
          </cell>
          <cell r="AX49" t="str">
            <v/>
          </cell>
          <cell r="AY49" t="str">
            <v/>
          </cell>
          <cell r="AZ49" t="str">
            <v/>
          </cell>
          <cell r="BA49" t="str">
            <v/>
          </cell>
          <cell r="FO49" t="str">
            <v>SD</v>
          </cell>
          <cell r="FP49">
            <v>43</v>
          </cell>
        </row>
        <row r="50">
          <cell r="B50">
            <v>27</v>
          </cell>
          <cell r="C50" t="str">
            <v/>
          </cell>
          <cell r="D50" t="str">
            <v/>
          </cell>
          <cell r="E50" t="str">
            <v/>
          </cell>
          <cell r="F50" t="str">
            <v/>
          </cell>
          <cell r="G50">
            <v>0.84799999999999998</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
          </cell>
          <cell r="V50" t="str">
            <v/>
          </cell>
          <cell r="W50" t="str">
            <v/>
          </cell>
          <cell r="X50" t="str">
            <v/>
          </cell>
          <cell r="Y50" t="str">
            <v/>
          </cell>
          <cell r="Z50" t="str">
            <v/>
          </cell>
          <cell r="AA50" t="str">
            <v/>
          </cell>
          <cell r="AB50" t="str">
            <v/>
          </cell>
          <cell r="AC50" t="str">
            <v/>
          </cell>
          <cell r="AD50" t="str">
            <v/>
          </cell>
          <cell r="AE50" t="str">
            <v/>
          </cell>
          <cell r="AF50" t="str">
            <v/>
          </cell>
          <cell r="AG50" t="str">
            <v/>
          </cell>
          <cell r="AH50" t="str">
            <v/>
          </cell>
          <cell r="AI50" t="str">
            <v/>
          </cell>
          <cell r="AJ50" t="str">
            <v/>
          </cell>
          <cell r="AK50">
            <v>1.0629999999999999</v>
          </cell>
          <cell r="AL50" t="str">
            <v/>
          </cell>
          <cell r="AM50" t="str">
            <v/>
          </cell>
          <cell r="AN50" t="str">
            <v/>
          </cell>
          <cell r="AO50" t="str">
            <v/>
          </cell>
          <cell r="AP50" t="str">
            <v/>
          </cell>
          <cell r="AQ50" t="str">
            <v/>
          </cell>
          <cell r="AR50" t="str">
            <v/>
          </cell>
          <cell r="AS50" t="str">
            <v/>
          </cell>
          <cell r="AT50" t="str">
            <v/>
          </cell>
          <cell r="AU50" t="str">
            <v/>
          </cell>
          <cell r="AV50" t="str">
            <v/>
          </cell>
          <cell r="AW50" t="str">
            <v/>
          </cell>
          <cell r="AX50" t="str">
            <v/>
          </cell>
          <cell r="AY50" t="str">
            <v/>
          </cell>
          <cell r="AZ50" t="str">
            <v/>
          </cell>
          <cell r="BA50" t="str">
            <v/>
          </cell>
          <cell r="FO50" t="str">
            <v>TN</v>
          </cell>
          <cell r="FP50">
            <v>44</v>
          </cell>
        </row>
        <row r="51">
          <cell r="B51">
            <v>28</v>
          </cell>
          <cell r="C51" t="str">
            <v/>
          </cell>
          <cell r="D51" t="str">
            <v/>
          </cell>
          <cell r="E51" t="str">
            <v/>
          </cell>
          <cell r="F51" t="str">
            <v/>
          </cell>
          <cell r="G51">
            <v>0.77900000000000003</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
          </cell>
          <cell r="V51" t="str">
            <v/>
          </cell>
          <cell r="W51" t="str">
            <v/>
          </cell>
          <cell r="X51" t="str">
            <v/>
          </cell>
          <cell r="Y51" t="str">
            <v/>
          </cell>
          <cell r="Z51" t="str">
            <v/>
          </cell>
          <cell r="AA51" t="str">
            <v/>
          </cell>
          <cell r="AB51" t="str">
            <v/>
          </cell>
          <cell r="AC51" t="str">
            <v/>
          </cell>
          <cell r="AD51" t="str">
            <v/>
          </cell>
          <cell r="AE51" t="str">
            <v/>
          </cell>
          <cell r="AF51" t="str">
            <v/>
          </cell>
          <cell r="AG51" t="str">
            <v/>
          </cell>
          <cell r="AH51" t="str">
            <v/>
          </cell>
          <cell r="AI51" t="str">
            <v/>
          </cell>
          <cell r="AJ51" t="str">
            <v/>
          </cell>
          <cell r="AK51">
            <v>1.151</v>
          </cell>
          <cell r="AL51" t="str">
            <v/>
          </cell>
          <cell r="AM51" t="str">
            <v/>
          </cell>
          <cell r="AN51" t="str">
            <v/>
          </cell>
          <cell r="AO51" t="str">
            <v/>
          </cell>
          <cell r="AP51" t="str">
            <v/>
          </cell>
          <cell r="AQ51" t="str">
            <v/>
          </cell>
          <cell r="AR51" t="str">
            <v/>
          </cell>
          <cell r="AS51" t="str">
            <v/>
          </cell>
          <cell r="AT51" t="str">
            <v/>
          </cell>
          <cell r="AU51" t="str">
            <v/>
          </cell>
          <cell r="AV51" t="str">
            <v/>
          </cell>
          <cell r="AW51" t="str">
            <v/>
          </cell>
          <cell r="AX51" t="str">
            <v/>
          </cell>
          <cell r="AY51" t="str">
            <v/>
          </cell>
          <cell r="AZ51" t="str">
            <v/>
          </cell>
          <cell r="BA51" t="str">
            <v/>
          </cell>
          <cell r="FO51" t="str">
            <v>TX</v>
          </cell>
          <cell r="FP51">
            <v>45</v>
          </cell>
        </row>
        <row r="52">
          <cell r="B52">
            <v>29</v>
          </cell>
          <cell r="C52" t="str">
            <v/>
          </cell>
          <cell r="D52" t="str">
            <v/>
          </cell>
          <cell r="E52" t="str">
            <v/>
          </cell>
          <cell r="F52" t="str">
            <v/>
          </cell>
          <cell r="G52">
            <v>0.86899999999999999</v>
          </cell>
          <cell r="H52" t="str">
            <v/>
          </cell>
          <cell r="I52" t="str">
            <v/>
          </cell>
          <cell r="J52" t="str">
            <v/>
          </cell>
          <cell r="K52" t="str">
            <v/>
          </cell>
          <cell r="L52" t="str">
            <v/>
          </cell>
          <cell r="M52" t="str">
            <v/>
          </cell>
          <cell r="N52" t="str">
            <v/>
          </cell>
          <cell r="O52" t="str">
            <v/>
          </cell>
          <cell r="P52" t="str">
            <v/>
          </cell>
          <cell r="Q52" t="str">
            <v/>
          </cell>
          <cell r="R52" t="str">
            <v/>
          </cell>
          <cell r="S52" t="str">
            <v/>
          </cell>
          <cell r="T52" t="str">
            <v/>
          </cell>
          <cell r="U52" t="str">
            <v/>
          </cell>
          <cell r="V52" t="str">
            <v/>
          </cell>
          <cell r="W52" t="str">
            <v/>
          </cell>
          <cell r="X52" t="str">
            <v/>
          </cell>
          <cell r="Y52" t="str">
            <v/>
          </cell>
          <cell r="Z52" t="str">
            <v/>
          </cell>
          <cell r="AA52" t="str">
            <v/>
          </cell>
          <cell r="AB52" t="str">
            <v/>
          </cell>
          <cell r="AC52" t="str">
            <v/>
          </cell>
          <cell r="AD52" t="str">
            <v/>
          </cell>
          <cell r="AE52" t="str">
            <v/>
          </cell>
          <cell r="AF52" t="str">
            <v/>
          </cell>
          <cell r="AG52" t="str">
            <v/>
          </cell>
          <cell r="AH52" t="str">
            <v/>
          </cell>
          <cell r="AI52" t="str">
            <v/>
          </cell>
          <cell r="AJ52" t="str">
            <v/>
          </cell>
          <cell r="AK52">
            <v>1.151</v>
          </cell>
          <cell r="AL52" t="str">
            <v/>
          </cell>
          <cell r="AM52" t="str">
            <v/>
          </cell>
          <cell r="AN52" t="str">
            <v/>
          </cell>
          <cell r="AO52" t="str">
            <v/>
          </cell>
          <cell r="AP52" t="str">
            <v/>
          </cell>
          <cell r="AQ52" t="str">
            <v/>
          </cell>
          <cell r="AR52" t="str">
            <v/>
          </cell>
          <cell r="AS52" t="str">
            <v/>
          </cell>
          <cell r="AT52" t="str">
            <v/>
          </cell>
          <cell r="AU52" t="str">
            <v/>
          </cell>
          <cell r="AV52" t="str">
            <v/>
          </cell>
          <cell r="AW52" t="str">
            <v/>
          </cell>
          <cell r="AX52" t="str">
            <v/>
          </cell>
          <cell r="AY52" t="str">
            <v/>
          </cell>
          <cell r="AZ52" t="str">
            <v/>
          </cell>
          <cell r="BA52" t="str">
            <v/>
          </cell>
          <cell r="FO52" t="str">
            <v>UT</v>
          </cell>
          <cell r="FP52">
            <v>46</v>
          </cell>
        </row>
        <row r="53">
          <cell r="B53">
            <v>30</v>
          </cell>
          <cell r="C53" t="str">
            <v/>
          </cell>
          <cell r="D53" t="str">
            <v/>
          </cell>
          <cell r="E53" t="str">
            <v/>
          </cell>
          <cell r="F53" t="str">
            <v/>
          </cell>
          <cell r="G53">
            <v>1.0089999999999999</v>
          </cell>
          <cell r="H53" t="str">
            <v/>
          </cell>
          <cell r="I53" t="str">
            <v/>
          </cell>
          <cell r="J53" t="str">
            <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E53" t="str">
            <v/>
          </cell>
          <cell r="AF53" t="str">
            <v/>
          </cell>
          <cell r="AG53" t="str">
            <v/>
          </cell>
          <cell r="AH53" t="str">
            <v/>
          </cell>
          <cell r="AI53" t="str">
            <v/>
          </cell>
          <cell r="AJ53" t="str">
            <v/>
          </cell>
          <cell r="AK53">
            <v>0.97599999999999998</v>
          </cell>
          <cell r="AL53" t="str">
            <v/>
          </cell>
          <cell r="AM53" t="str">
            <v/>
          </cell>
          <cell r="AN53" t="str">
            <v/>
          </cell>
          <cell r="AO53" t="str">
            <v/>
          </cell>
          <cell r="AP53" t="str">
            <v/>
          </cell>
          <cell r="AQ53" t="str">
            <v/>
          </cell>
          <cell r="AR53" t="str">
            <v/>
          </cell>
          <cell r="AS53" t="str">
            <v/>
          </cell>
          <cell r="AT53" t="str">
            <v/>
          </cell>
          <cell r="AU53" t="str">
            <v/>
          </cell>
          <cell r="AV53" t="str">
            <v/>
          </cell>
          <cell r="AW53" t="str">
            <v/>
          </cell>
          <cell r="AX53" t="str">
            <v/>
          </cell>
          <cell r="AY53" t="str">
            <v/>
          </cell>
          <cell r="AZ53" t="str">
            <v/>
          </cell>
          <cell r="BA53" t="str">
            <v/>
          </cell>
          <cell r="FO53" t="str">
            <v>VA</v>
          </cell>
          <cell r="FP53">
            <v>47</v>
          </cell>
        </row>
        <row r="54">
          <cell r="B54">
            <v>31</v>
          </cell>
          <cell r="C54" t="str">
            <v/>
          </cell>
          <cell r="D54" t="str">
            <v/>
          </cell>
          <cell r="E54" t="str">
            <v/>
          </cell>
          <cell r="F54" t="str">
            <v/>
          </cell>
          <cell r="G54">
            <v>0.83399999999999996</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E54" t="str">
            <v/>
          </cell>
          <cell r="AF54" t="str">
            <v/>
          </cell>
          <cell r="AG54" t="str">
            <v/>
          </cell>
          <cell r="AH54" t="str">
            <v/>
          </cell>
          <cell r="AI54" t="str">
            <v/>
          </cell>
          <cell r="AJ54" t="str">
            <v/>
          </cell>
          <cell r="AK54">
            <v>0.77900000000000003</v>
          </cell>
          <cell r="AL54" t="str">
            <v/>
          </cell>
          <cell r="AM54" t="str">
            <v/>
          </cell>
          <cell r="AN54" t="str">
            <v/>
          </cell>
          <cell r="AO54" t="str">
            <v/>
          </cell>
          <cell r="AP54" t="str">
            <v/>
          </cell>
          <cell r="AQ54" t="str">
            <v/>
          </cell>
          <cell r="AR54" t="str">
            <v/>
          </cell>
          <cell r="AS54" t="str">
            <v/>
          </cell>
          <cell r="AT54" t="str">
            <v/>
          </cell>
          <cell r="AU54" t="str">
            <v/>
          </cell>
          <cell r="AV54" t="str">
            <v/>
          </cell>
          <cell r="AW54" t="str">
            <v/>
          </cell>
          <cell r="AX54" t="str">
            <v/>
          </cell>
          <cell r="AY54" t="str">
            <v/>
          </cell>
          <cell r="AZ54" t="str">
            <v/>
          </cell>
          <cell r="BA54" t="str">
            <v/>
          </cell>
          <cell r="FO54" t="str">
            <v>VT</v>
          </cell>
          <cell r="FP54">
            <v>48</v>
          </cell>
        </row>
        <row r="55">
          <cell r="B55">
            <v>32</v>
          </cell>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cell r="S55" t="str">
            <v/>
          </cell>
          <cell r="T55" t="str">
            <v/>
          </cell>
          <cell r="U55" t="str">
            <v/>
          </cell>
          <cell r="V55" t="str">
            <v/>
          </cell>
          <cell r="W55" t="str">
            <v/>
          </cell>
          <cell r="X55" t="str">
            <v/>
          </cell>
          <cell r="Y55" t="str">
            <v/>
          </cell>
          <cell r="Z55" t="str">
            <v/>
          </cell>
          <cell r="AA55" t="str">
            <v/>
          </cell>
          <cell r="AB55" t="str">
            <v/>
          </cell>
          <cell r="AC55" t="str">
            <v/>
          </cell>
          <cell r="AD55" t="str">
            <v/>
          </cell>
          <cell r="AE55" t="str">
            <v/>
          </cell>
          <cell r="AF55" t="str">
            <v/>
          </cell>
          <cell r="AG55" t="str">
            <v/>
          </cell>
          <cell r="AH55" t="str">
            <v/>
          </cell>
          <cell r="AI55" t="str">
            <v/>
          </cell>
          <cell r="AJ55" t="str">
            <v/>
          </cell>
          <cell r="AK55">
            <v>0.80400000000000005</v>
          </cell>
          <cell r="AL55" t="str">
            <v/>
          </cell>
          <cell r="AM55" t="str">
            <v/>
          </cell>
          <cell r="AN55" t="str">
            <v/>
          </cell>
          <cell r="AO55" t="str">
            <v/>
          </cell>
          <cell r="AP55" t="str">
            <v/>
          </cell>
          <cell r="AQ55" t="str">
            <v/>
          </cell>
          <cell r="AR55" t="str">
            <v/>
          </cell>
          <cell r="AS55" t="str">
            <v/>
          </cell>
          <cell r="AT55" t="str">
            <v/>
          </cell>
          <cell r="AU55" t="str">
            <v/>
          </cell>
          <cell r="AV55" t="str">
            <v/>
          </cell>
          <cell r="AW55" t="str">
            <v/>
          </cell>
          <cell r="AX55" t="str">
            <v/>
          </cell>
          <cell r="AY55" t="str">
            <v/>
          </cell>
          <cell r="AZ55" t="str">
            <v/>
          </cell>
          <cell r="BA55" t="str">
            <v/>
          </cell>
          <cell r="FO55" t="str">
            <v>WA</v>
          </cell>
          <cell r="FP55">
            <v>49</v>
          </cell>
        </row>
        <row r="56">
          <cell r="B56">
            <v>33</v>
          </cell>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E56" t="str">
            <v/>
          </cell>
          <cell r="AF56" t="str">
            <v/>
          </cell>
          <cell r="AG56" t="str">
            <v/>
          </cell>
          <cell r="AH56" t="str">
            <v/>
          </cell>
          <cell r="AI56" t="str">
            <v/>
          </cell>
          <cell r="AJ56" t="str">
            <v/>
          </cell>
          <cell r="AK56">
            <v>0.86199999999999999</v>
          </cell>
          <cell r="AL56" t="str">
            <v/>
          </cell>
          <cell r="AM56" t="str">
            <v/>
          </cell>
          <cell r="AN56" t="str">
            <v/>
          </cell>
          <cell r="AO56" t="str">
            <v/>
          </cell>
          <cell r="AP56" t="str">
            <v/>
          </cell>
          <cell r="AQ56" t="str">
            <v/>
          </cell>
          <cell r="AR56" t="str">
            <v/>
          </cell>
          <cell r="AS56" t="str">
            <v/>
          </cell>
          <cell r="AT56" t="str">
            <v/>
          </cell>
          <cell r="AU56" t="str">
            <v/>
          </cell>
          <cell r="AV56" t="str">
            <v/>
          </cell>
          <cell r="AW56" t="str">
            <v/>
          </cell>
          <cell r="AX56" t="str">
            <v/>
          </cell>
          <cell r="AY56" t="str">
            <v/>
          </cell>
          <cell r="AZ56" t="str">
            <v/>
          </cell>
          <cell r="BA56" t="str">
            <v/>
          </cell>
          <cell r="FO56" t="str">
            <v>WI</v>
          </cell>
          <cell r="FP56">
            <v>50</v>
          </cell>
        </row>
        <row r="57">
          <cell r="B57">
            <v>34</v>
          </cell>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cell r="S57" t="str">
            <v/>
          </cell>
          <cell r="T57" t="str">
            <v/>
          </cell>
          <cell r="U57" t="str">
            <v/>
          </cell>
          <cell r="V57" t="str">
            <v/>
          </cell>
          <cell r="W57" t="str">
            <v/>
          </cell>
          <cell r="X57" t="str">
            <v/>
          </cell>
          <cell r="Y57" t="str">
            <v/>
          </cell>
          <cell r="Z57" t="str">
            <v/>
          </cell>
          <cell r="AA57" t="str">
            <v/>
          </cell>
          <cell r="AB57" t="str">
            <v/>
          </cell>
          <cell r="AC57" t="str">
            <v/>
          </cell>
          <cell r="AD57" t="str">
            <v/>
          </cell>
          <cell r="AE57" t="str">
            <v/>
          </cell>
          <cell r="AF57" t="str">
            <v/>
          </cell>
          <cell r="AG57" t="str">
            <v/>
          </cell>
          <cell r="AH57" t="str">
            <v/>
          </cell>
          <cell r="AI57" t="str">
            <v/>
          </cell>
          <cell r="AJ57" t="str">
            <v/>
          </cell>
          <cell r="AK57">
            <v>1.228</v>
          </cell>
          <cell r="AL57" t="str">
            <v/>
          </cell>
          <cell r="AM57" t="str">
            <v/>
          </cell>
          <cell r="AN57" t="str">
            <v/>
          </cell>
          <cell r="AO57" t="str">
            <v/>
          </cell>
          <cell r="AP57" t="str">
            <v/>
          </cell>
          <cell r="AQ57" t="str">
            <v/>
          </cell>
          <cell r="AR57" t="str">
            <v/>
          </cell>
          <cell r="AS57" t="str">
            <v/>
          </cell>
          <cell r="AT57" t="str">
            <v/>
          </cell>
          <cell r="AU57" t="str">
            <v/>
          </cell>
          <cell r="AV57" t="str">
            <v/>
          </cell>
          <cell r="AW57" t="str">
            <v/>
          </cell>
          <cell r="AX57" t="str">
            <v/>
          </cell>
          <cell r="AY57" t="str">
            <v/>
          </cell>
          <cell r="AZ57" t="str">
            <v/>
          </cell>
          <cell r="BA57" t="str">
            <v/>
          </cell>
          <cell r="FO57" t="str">
            <v>WV</v>
          </cell>
          <cell r="FP57">
            <v>51</v>
          </cell>
        </row>
        <row r="58">
          <cell r="B58">
            <v>35</v>
          </cell>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cell r="S58" t="str">
            <v/>
          </cell>
          <cell r="T58" t="str">
            <v/>
          </cell>
          <cell r="U58" t="str">
            <v/>
          </cell>
          <cell r="V58" t="str">
            <v/>
          </cell>
          <cell r="W58" t="str">
            <v/>
          </cell>
          <cell r="X58" t="str">
            <v/>
          </cell>
          <cell r="Y58" t="str">
            <v/>
          </cell>
          <cell r="Z58" t="str">
            <v/>
          </cell>
          <cell r="AA58" t="str">
            <v/>
          </cell>
          <cell r="AB58" t="str">
            <v/>
          </cell>
          <cell r="AC58" t="str">
            <v/>
          </cell>
          <cell r="AD58" t="str">
            <v/>
          </cell>
          <cell r="AE58" t="str">
            <v/>
          </cell>
          <cell r="AF58" t="str">
            <v/>
          </cell>
          <cell r="AG58" t="str">
            <v/>
          </cell>
          <cell r="AH58" t="str">
            <v/>
          </cell>
          <cell r="AI58" t="str">
            <v/>
          </cell>
          <cell r="AJ58" t="str">
            <v/>
          </cell>
          <cell r="AK58">
            <v>0.80400000000000005</v>
          </cell>
          <cell r="AL58" t="str">
            <v/>
          </cell>
          <cell r="AM58" t="str">
            <v/>
          </cell>
          <cell r="AN58" t="str">
            <v/>
          </cell>
          <cell r="AO58" t="str">
            <v/>
          </cell>
          <cell r="AP58" t="str">
            <v/>
          </cell>
          <cell r="AQ58" t="str">
            <v/>
          </cell>
          <cell r="AR58" t="str">
            <v/>
          </cell>
          <cell r="AS58" t="str">
            <v/>
          </cell>
          <cell r="AT58" t="str">
            <v/>
          </cell>
          <cell r="AU58" t="str">
            <v/>
          </cell>
          <cell r="AV58" t="str">
            <v/>
          </cell>
          <cell r="AW58" t="str">
            <v/>
          </cell>
          <cell r="AX58" t="str">
            <v/>
          </cell>
          <cell r="AY58" t="str">
            <v/>
          </cell>
          <cell r="AZ58" t="str">
            <v/>
          </cell>
          <cell r="BA58" t="str">
            <v/>
          </cell>
          <cell r="FO58" t="str">
            <v>WY</v>
          </cell>
          <cell r="FP58">
            <v>52</v>
          </cell>
        </row>
        <row r="59">
          <cell r="B59">
            <v>36</v>
          </cell>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cell r="S59" t="str">
            <v/>
          </cell>
          <cell r="T59" t="str">
            <v/>
          </cell>
          <cell r="U59" t="str">
            <v/>
          </cell>
          <cell r="V59" t="str">
            <v/>
          </cell>
          <cell r="W59" t="str">
            <v/>
          </cell>
          <cell r="X59" t="str">
            <v/>
          </cell>
          <cell r="Y59" t="str">
            <v/>
          </cell>
          <cell r="Z59" t="str">
            <v/>
          </cell>
          <cell r="AA59" t="str">
            <v/>
          </cell>
          <cell r="AB59" t="str">
            <v/>
          </cell>
          <cell r="AC59" t="str">
            <v/>
          </cell>
          <cell r="AD59" t="str">
            <v/>
          </cell>
          <cell r="AE59" t="str">
            <v/>
          </cell>
          <cell r="AF59" t="str">
            <v/>
          </cell>
          <cell r="AG59" t="str">
            <v/>
          </cell>
          <cell r="AH59" t="str">
            <v/>
          </cell>
          <cell r="AI59" t="str">
            <v/>
          </cell>
          <cell r="AJ59" t="str">
            <v/>
          </cell>
          <cell r="AK59">
            <v>0.80400000000000005</v>
          </cell>
          <cell r="AL59" t="str">
            <v/>
          </cell>
          <cell r="AM59" t="str">
            <v/>
          </cell>
          <cell r="AN59" t="str">
            <v/>
          </cell>
          <cell r="AO59" t="str">
            <v/>
          </cell>
          <cell r="AP59" t="str">
            <v/>
          </cell>
          <cell r="AQ59" t="str">
            <v/>
          </cell>
          <cell r="AR59" t="str">
            <v/>
          </cell>
          <cell r="AS59" t="str">
            <v/>
          </cell>
          <cell r="AT59" t="str">
            <v/>
          </cell>
          <cell r="AU59" t="str">
            <v/>
          </cell>
          <cell r="AV59" t="str">
            <v/>
          </cell>
          <cell r="AW59" t="str">
            <v/>
          </cell>
          <cell r="AX59" t="str">
            <v/>
          </cell>
          <cell r="AY59" t="str">
            <v/>
          </cell>
          <cell r="AZ59" t="str">
            <v/>
          </cell>
          <cell r="BA59" t="str">
            <v/>
          </cell>
        </row>
        <row r="60">
          <cell r="B60">
            <v>37</v>
          </cell>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E60" t="str">
            <v/>
          </cell>
          <cell r="AF60" t="str">
            <v/>
          </cell>
          <cell r="AG60" t="str">
            <v/>
          </cell>
          <cell r="AH60" t="str">
            <v/>
          </cell>
          <cell r="AI60" t="str">
            <v/>
          </cell>
          <cell r="AJ60" t="str">
            <v/>
          </cell>
          <cell r="AK60">
            <v>1.044</v>
          </cell>
          <cell r="AL60" t="str">
            <v/>
          </cell>
          <cell r="AM60" t="str">
            <v/>
          </cell>
          <cell r="AN60" t="str">
            <v/>
          </cell>
          <cell r="AO60" t="str">
            <v/>
          </cell>
          <cell r="AP60" t="str">
            <v/>
          </cell>
          <cell r="AQ60" t="str">
            <v/>
          </cell>
          <cell r="AR60" t="str">
            <v/>
          </cell>
          <cell r="AS60" t="str">
            <v/>
          </cell>
          <cell r="AT60" t="str">
            <v/>
          </cell>
          <cell r="AU60" t="str">
            <v/>
          </cell>
          <cell r="AV60" t="str">
            <v/>
          </cell>
          <cell r="AW60" t="str">
            <v/>
          </cell>
          <cell r="AX60" t="str">
            <v/>
          </cell>
          <cell r="AY60" t="str">
            <v/>
          </cell>
          <cell r="AZ60" t="str">
            <v/>
          </cell>
          <cell r="BA60" t="str">
            <v/>
          </cell>
        </row>
        <row r="61">
          <cell r="B61">
            <v>38</v>
          </cell>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E61" t="str">
            <v/>
          </cell>
          <cell r="AF61" t="str">
            <v/>
          </cell>
          <cell r="AG61" t="str">
            <v/>
          </cell>
          <cell r="AH61" t="str">
            <v/>
          </cell>
          <cell r="AI61" t="str">
            <v/>
          </cell>
          <cell r="AJ61" t="str">
            <v/>
          </cell>
          <cell r="AK61">
            <v>1.044</v>
          </cell>
          <cell r="AL61" t="str">
            <v/>
          </cell>
          <cell r="AM61" t="str">
            <v/>
          </cell>
          <cell r="AN61" t="str">
            <v/>
          </cell>
          <cell r="AO61" t="str">
            <v/>
          </cell>
          <cell r="AP61" t="str">
            <v/>
          </cell>
          <cell r="AQ61" t="str">
            <v/>
          </cell>
          <cell r="AR61" t="str">
            <v/>
          </cell>
          <cell r="AS61" t="str">
            <v/>
          </cell>
          <cell r="AT61" t="str">
            <v/>
          </cell>
          <cell r="AU61" t="str">
            <v/>
          </cell>
          <cell r="AV61" t="str">
            <v/>
          </cell>
          <cell r="AW61" t="str">
            <v/>
          </cell>
          <cell r="AX61" t="str">
            <v/>
          </cell>
          <cell r="AY61" t="str">
            <v/>
          </cell>
          <cell r="AZ61" t="str">
            <v/>
          </cell>
          <cell r="BA61" t="str">
            <v/>
          </cell>
        </row>
        <row r="62">
          <cell r="B62">
            <v>39</v>
          </cell>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E62" t="str">
            <v/>
          </cell>
          <cell r="AF62" t="str">
            <v/>
          </cell>
          <cell r="AG62" t="str">
            <v/>
          </cell>
          <cell r="AH62" t="str">
            <v/>
          </cell>
          <cell r="AI62" t="str">
            <v/>
          </cell>
          <cell r="AJ62" t="str">
            <v/>
          </cell>
          <cell r="AK62">
            <v>1.478</v>
          </cell>
          <cell r="AL62" t="str">
            <v/>
          </cell>
          <cell r="AM62" t="str">
            <v/>
          </cell>
          <cell r="AN62" t="str">
            <v/>
          </cell>
          <cell r="AO62" t="str">
            <v/>
          </cell>
          <cell r="AP62" t="str">
            <v/>
          </cell>
          <cell r="AQ62" t="str">
            <v/>
          </cell>
          <cell r="AR62" t="str">
            <v/>
          </cell>
          <cell r="AS62" t="str">
            <v/>
          </cell>
          <cell r="AT62" t="str">
            <v/>
          </cell>
          <cell r="AU62" t="str">
            <v/>
          </cell>
          <cell r="AV62" t="str">
            <v/>
          </cell>
          <cell r="AW62" t="str">
            <v/>
          </cell>
          <cell r="AX62" t="str">
            <v/>
          </cell>
          <cell r="AY62" t="str">
            <v/>
          </cell>
          <cell r="AZ62" t="str">
            <v/>
          </cell>
          <cell r="BA62" t="str">
            <v/>
          </cell>
        </row>
        <row r="63">
          <cell r="B63">
            <v>40</v>
          </cell>
          <cell r="C63" t="str">
            <v/>
          </cell>
          <cell r="D63" t="str">
            <v/>
          </cell>
          <cell r="E63" t="str">
            <v/>
          </cell>
          <cell r="F63" t="str">
            <v/>
          </cell>
          <cell r="G63" t="str">
            <v/>
          </cell>
          <cell r="H63" t="str">
            <v/>
          </cell>
          <cell r="I63" t="str">
            <v/>
          </cell>
          <cell r="J63" t="str">
            <v/>
          </cell>
          <cell r="K63" t="str">
            <v/>
          </cell>
          <cell r="L63" t="str">
            <v/>
          </cell>
          <cell r="M63" t="str">
            <v/>
          </cell>
          <cell r="N63" t="str">
            <v/>
          </cell>
          <cell r="O63" t="str">
            <v/>
          </cell>
          <cell r="P63" t="str">
            <v/>
          </cell>
          <cell r="Q63" t="str">
            <v/>
          </cell>
          <cell r="R63" t="str">
            <v/>
          </cell>
          <cell r="S63" t="str">
            <v/>
          </cell>
          <cell r="T63" t="str">
            <v/>
          </cell>
          <cell r="U63" t="str">
            <v/>
          </cell>
          <cell r="V63" t="str">
            <v/>
          </cell>
          <cell r="W63" t="str">
            <v/>
          </cell>
          <cell r="X63" t="str">
            <v/>
          </cell>
          <cell r="Y63" t="str">
            <v/>
          </cell>
          <cell r="Z63" t="str">
            <v/>
          </cell>
          <cell r="AA63" t="str">
            <v/>
          </cell>
          <cell r="AB63" t="str">
            <v/>
          </cell>
          <cell r="AC63" t="str">
            <v/>
          </cell>
          <cell r="AD63" t="str">
            <v/>
          </cell>
          <cell r="AE63" t="str">
            <v/>
          </cell>
          <cell r="AF63" t="str">
            <v/>
          </cell>
          <cell r="AG63" t="str">
            <v/>
          </cell>
          <cell r="AH63" t="str">
            <v/>
          </cell>
          <cell r="AI63" t="str">
            <v/>
          </cell>
          <cell r="AJ63" t="str">
            <v/>
          </cell>
          <cell r="AK63" t="str">
            <v/>
          </cell>
          <cell r="AL63" t="str">
            <v/>
          </cell>
          <cell r="AM63" t="str">
            <v/>
          </cell>
          <cell r="AN63" t="str">
            <v/>
          </cell>
          <cell r="AO63" t="str">
            <v/>
          </cell>
          <cell r="AP63" t="str">
            <v/>
          </cell>
          <cell r="AQ63" t="str">
            <v/>
          </cell>
          <cell r="AR63" t="str">
            <v/>
          </cell>
          <cell r="AS63" t="str">
            <v/>
          </cell>
          <cell r="AT63" t="str">
            <v/>
          </cell>
          <cell r="AU63" t="str">
            <v/>
          </cell>
          <cell r="AV63" t="str">
            <v/>
          </cell>
          <cell r="AW63" t="str">
            <v/>
          </cell>
          <cell r="AX63" t="str">
            <v/>
          </cell>
          <cell r="AY63" t="str">
            <v/>
          </cell>
          <cell r="AZ63" t="str">
            <v/>
          </cell>
          <cell r="BA63" t="str">
            <v/>
          </cell>
        </row>
        <row r="67">
          <cell r="B67">
            <v>1</v>
          </cell>
          <cell r="C67" t="str">
            <v/>
          </cell>
          <cell r="D67">
            <v>0.86199999999999999</v>
          </cell>
          <cell r="E67">
            <v>1</v>
          </cell>
          <cell r="F67" t="str">
            <v/>
          </cell>
          <cell r="G67" t="str">
            <v/>
          </cell>
          <cell r="H67" t="str">
            <v/>
          </cell>
          <cell r="I67">
            <v>1.4059999999999999</v>
          </cell>
          <cell r="J67">
            <v>1</v>
          </cell>
          <cell r="K67">
            <v>1</v>
          </cell>
          <cell r="L67" t="str">
            <v/>
          </cell>
          <cell r="M67" t="str">
            <v/>
          </cell>
          <cell r="N67" t="str">
            <v/>
          </cell>
          <cell r="O67">
            <v>1</v>
          </cell>
          <cell r="P67">
            <v>1</v>
          </cell>
          <cell r="Q67">
            <v>0.95599999999999996</v>
          </cell>
          <cell r="R67" t="str">
            <v/>
          </cell>
          <cell r="S67">
            <v>0.96299999999999997</v>
          </cell>
          <cell r="T67" t="str">
            <v/>
          </cell>
          <cell r="U67" t="str">
            <v/>
          </cell>
          <cell r="V67">
            <v>1.0269999999999999</v>
          </cell>
          <cell r="W67">
            <v>0.96699999999999997</v>
          </cell>
          <cell r="X67">
            <v>1</v>
          </cell>
          <cell r="Y67" t="str">
            <v/>
          </cell>
          <cell r="Z67" t="str">
            <v/>
          </cell>
          <cell r="AA67">
            <v>0.78</v>
          </cell>
          <cell r="AB67" t="str">
            <v/>
          </cell>
          <cell r="AC67" t="str">
            <v/>
          </cell>
          <cell r="AD67" t="str">
            <v/>
          </cell>
          <cell r="AE67">
            <v>1</v>
          </cell>
          <cell r="AF67">
            <v>0.96</v>
          </cell>
          <cell r="AG67">
            <v>1</v>
          </cell>
          <cell r="AH67">
            <v>0.80100000000000005</v>
          </cell>
          <cell r="AI67" t="str">
            <v/>
          </cell>
          <cell r="AJ67">
            <v>1</v>
          </cell>
          <cell r="AK67" t="str">
            <v/>
          </cell>
          <cell r="AL67" t="str">
            <v/>
          </cell>
          <cell r="AM67">
            <v>0.95899999999999996</v>
          </cell>
          <cell r="AN67">
            <v>0.878</v>
          </cell>
          <cell r="AO67">
            <v>2.1680000000000001</v>
          </cell>
          <cell r="AP67">
            <v>0.87</v>
          </cell>
          <cell r="AQ67" t="str">
            <v/>
          </cell>
          <cell r="AR67">
            <v>1</v>
          </cell>
          <cell r="AS67">
            <v>0.85399999999999998</v>
          </cell>
          <cell r="AT67" t="str">
            <v/>
          </cell>
          <cell r="AU67">
            <v>1</v>
          </cell>
          <cell r="AV67">
            <v>1.0109999999999999</v>
          </cell>
          <cell r="AW67">
            <v>1</v>
          </cell>
          <cell r="AX67">
            <v>1.0289999999999999</v>
          </cell>
          <cell r="AY67">
            <v>1.1890000000000001</v>
          </cell>
          <cell r="AZ67">
            <v>1</v>
          </cell>
          <cell r="BA67" t="str">
            <v/>
          </cell>
        </row>
        <row r="68">
          <cell r="B68">
            <v>2</v>
          </cell>
          <cell r="C68">
            <v>1.1220000000000001</v>
          </cell>
          <cell r="D68" t="str">
            <v/>
          </cell>
          <cell r="E68" t="str">
            <v/>
          </cell>
          <cell r="F68" t="str">
            <v/>
          </cell>
          <cell r="G68" t="str">
            <v/>
          </cell>
          <cell r="H68" t="str">
            <v/>
          </cell>
          <cell r="I68" t="str">
            <v/>
          </cell>
          <cell r="J68" t="str">
            <v/>
          </cell>
          <cell r="K68" t="str">
            <v/>
          </cell>
          <cell r="L68">
            <v>1.048</v>
          </cell>
          <cell r="M68">
            <v>0.69</v>
          </cell>
          <cell r="N68" t="str">
            <v/>
          </cell>
          <cell r="O68" t="str">
            <v/>
          </cell>
          <cell r="P68" t="str">
            <v/>
          </cell>
          <cell r="Q68" t="str">
            <v/>
          </cell>
          <cell r="R68">
            <v>0.79200000000000004</v>
          </cell>
          <cell r="S68">
            <v>1.0369999999999999</v>
          </cell>
          <cell r="T68" t="str">
            <v/>
          </cell>
          <cell r="U68" t="str">
            <v/>
          </cell>
          <cell r="V68">
            <v>1.117</v>
          </cell>
          <cell r="W68">
            <v>0.82</v>
          </cell>
          <cell r="X68" t="str">
            <v/>
          </cell>
          <cell r="Y68">
            <v>1.44</v>
          </cell>
          <cell r="Z68">
            <v>1.0940000000000001</v>
          </cell>
          <cell r="AA68" t="str">
            <v/>
          </cell>
          <cell r="AB68">
            <v>1.0149999999999999</v>
          </cell>
          <cell r="AC68">
            <v>0.83599999999999997</v>
          </cell>
          <cell r="AD68" t="str">
            <v/>
          </cell>
          <cell r="AE68" t="str">
            <v/>
          </cell>
          <cell r="AF68" t="str">
            <v/>
          </cell>
          <cell r="AG68" t="str">
            <v/>
          </cell>
          <cell r="AH68">
            <v>1.03</v>
          </cell>
          <cell r="AI68">
            <v>0.93100000000000005</v>
          </cell>
          <cell r="AJ68" t="str">
            <v/>
          </cell>
          <cell r="AK68">
            <v>1.01</v>
          </cell>
          <cell r="AL68">
            <v>1.181</v>
          </cell>
          <cell r="AM68">
            <v>1.0289999999999999</v>
          </cell>
          <cell r="AN68">
            <v>1.42</v>
          </cell>
          <cell r="AO68">
            <v>0.89100000000000001</v>
          </cell>
          <cell r="AP68">
            <v>1.165</v>
          </cell>
          <cell r="AQ68">
            <v>0.61099999999999999</v>
          </cell>
          <cell r="AR68" t="str">
            <v/>
          </cell>
          <cell r="AS68">
            <v>0.91100000000000003</v>
          </cell>
          <cell r="AT68" t="str">
            <v/>
          </cell>
          <cell r="AU68" t="str">
            <v/>
          </cell>
          <cell r="AV68" t="str">
            <v/>
          </cell>
          <cell r="AW68" t="str">
            <v/>
          </cell>
          <cell r="AX68">
            <v>0.97099999999999997</v>
          </cell>
          <cell r="AY68">
            <v>1.024</v>
          </cell>
          <cell r="AZ68" t="str">
            <v/>
          </cell>
          <cell r="BA68">
            <v>0.96</v>
          </cell>
        </row>
        <row r="69">
          <cell r="B69">
            <v>3</v>
          </cell>
          <cell r="C69">
            <v>1.032</v>
          </cell>
          <cell r="D69" t="str">
            <v/>
          </cell>
          <cell r="E69" t="str">
            <v/>
          </cell>
          <cell r="F69">
            <v>0.94</v>
          </cell>
          <cell r="G69" t="str">
            <v/>
          </cell>
          <cell r="H69">
            <v>0.97399999999999998</v>
          </cell>
          <cell r="I69">
            <v>0.87</v>
          </cell>
          <cell r="J69" t="str">
            <v/>
          </cell>
          <cell r="K69" t="str">
            <v/>
          </cell>
          <cell r="L69" t="str">
            <v/>
          </cell>
          <cell r="M69" t="str">
            <v/>
          </cell>
          <cell r="N69" t="str">
            <v/>
          </cell>
          <cell r="O69" t="str">
            <v/>
          </cell>
          <cell r="P69" t="str">
            <v/>
          </cell>
          <cell r="Q69" t="str">
            <v/>
          </cell>
          <cell r="R69">
            <v>0.98499999999999999</v>
          </cell>
          <cell r="S69" t="str">
            <v/>
          </cell>
          <cell r="T69">
            <v>0.95399999999999996</v>
          </cell>
          <cell r="U69" t="str">
            <v/>
          </cell>
          <cell r="V69" t="str">
            <v/>
          </cell>
          <cell r="W69" t="str">
            <v/>
          </cell>
          <cell r="X69" t="str">
            <v/>
          </cell>
          <cell r="Y69">
            <v>0.876</v>
          </cell>
          <cell r="Z69">
            <v>0.754</v>
          </cell>
          <cell r="AA69">
            <v>1.1160000000000001</v>
          </cell>
          <cell r="AB69">
            <v>1.0900000000000001</v>
          </cell>
          <cell r="AC69">
            <v>1.0880000000000001</v>
          </cell>
          <cell r="AD69">
            <v>1.099</v>
          </cell>
          <cell r="AE69" t="str">
            <v/>
          </cell>
          <cell r="AF69">
            <v>0.98199999999999998</v>
          </cell>
          <cell r="AG69" t="str">
            <v/>
          </cell>
          <cell r="AH69">
            <v>1.202</v>
          </cell>
          <cell r="AI69">
            <v>1.04</v>
          </cell>
          <cell r="AJ69" t="str">
            <v/>
          </cell>
          <cell r="AK69">
            <v>0.871</v>
          </cell>
          <cell r="AL69" t="str">
            <v/>
          </cell>
          <cell r="AM69">
            <v>0.96499999999999997</v>
          </cell>
          <cell r="AN69" t="str">
            <v/>
          </cell>
          <cell r="AO69">
            <v>1.0249999999999999</v>
          </cell>
          <cell r="AP69">
            <v>0.94199999999999995</v>
          </cell>
          <cell r="AQ69">
            <v>1.1499999999999999</v>
          </cell>
          <cell r="AR69" t="str">
            <v/>
          </cell>
          <cell r="AS69" t="str">
            <v/>
          </cell>
          <cell r="AT69" t="str">
            <v/>
          </cell>
          <cell r="AU69" t="str">
            <v/>
          </cell>
          <cell r="AV69" t="str">
            <v/>
          </cell>
          <cell r="AW69" t="str">
            <v/>
          </cell>
          <cell r="AX69" t="str">
            <v/>
          </cell>
          <cell r="AY69">
            <v>1.024</v>
          </cell>
          <cell r="AZ69" t="str">
            <v/>
          </cell>
          <cell r="BA69">
            <v>1.0049999999999999</v>
          </cell>
        </row>
        <row r="70">
          <cell r="B70">
            <v>4</v>
          </cell>
          <cell r="C70" t="str">
            <v/>
          </cell>
          <cell r="D70">
            <v>0.91100000000000003</v>
          </cell>
          <cell r="E70" t="str">
            <v/>
          </cell>
          <cell r="F70">
            <v>1.1499999999999999</v>
          </cell>
          <cell r="G70" t="str">
            <v/>
          </cell>
          <cell r="H70">
            <v>0.94399999999999995</v>
          </cell>
          <cell r="I70">
            <v>1.087</v>
          </cell>
          <cell r="J70" t="str">
            <v/>
          </cell>
          <cell r="K70" t="str">
            <v/>
          </cell>
          <cell r="L70" t="str">
            <v/>
          </cell>
          <cell r="M70">
            <v>0.89500000000000002</v>
          </cell>
          <cell r="N70" t="str">
            <v/>
          </cell>
          <cell r="O70" t="str">
            <v/>
          </cell>
          <cell r="P70" t="str">
            <v/>
          </cell>
          <cell r="Q70">
            <v>1.0740000000000001</v>
          </cell>
          <cell r="R70">
            <v>1</v>
          </cell>
          <cell r="S70" t="str">
            <v/>
          </cell>
          <cell r="T70">
            <v>0.94099999999999995</v>
          </cell>
          <cell r="U70" t="str">
            <v/>
          </cell>
          <cell r="V70" t="str">
            <v/>
          </cell>
          <cell r="W70">
            <v>1</v>
          </cell>
          <cell r="X70" t="str">
            <v/>
          </cell>
          <cell r="Y70">
            <v>0.876</v>
          </cell>
          <cell r="Z70">
            <v>1.0349999999999999</v>
          </cell>
          <cell r="AA70">
            <v>0.93799999999999994</v>
          </cell>
          <cell r="AB70">
            <v>1.3420000000000001</v>
          </cell>
          <cell r="AC70">
            <v>1.077</v>
          </cell>
          <cell r="AD70">
            <v>1.2749999999999999</v>
          </cell>
          <cell r="AE70" t="str">
            <v/>
          </cell>
          <cell r="AF70">
            <v>1.04</v>
          </cell>
          <cell r="AG70" t="str">
            <v/>
          </cell>
          <cell r="AH70" t="str">
            <v/>
          </cell>
          <cell r="AI70">
            <v>1.0289999999999999</v>
          </cell>
          <cell r="AJ70" t="str">
            <v/>
          </cell>
          <cell r="AK70">
            <v>0.61399999999999999</v>
          </cell>
          <cell r="AL70">
            <v>0.72899999999999998</v>
          </cell>
          <cell r="AM70" t="str">
            <v/>
          </cell>
          <cell r="AN70" t="str">
            <v/>
          </cell>
          <cell r="AO70">
            <v>1.02</v>
          </cell>
          <cell r="AP70" t="str">
            <v/>
          </cell>
          <cell r="AQ70">
            <v>1.65</v>
          </cell>
          <cell r="AR70" t="str">
            <v/>
          </cell>
          <cell r="AS70">
            <v>0.9</v>
          </cell>
          <cell r="AT70">
            <v>1.1910000000000001</v>
          </cell>
          <cell r="AU70" t="str">
            <v/>
          </cell>
          <cell r="AV70" t="str">
            <v/>
          </cell>
          <cell r="AW70" t="str">
            <v/>
          </cell>
          <cell r="AX70" t="str">
            <v/>
          </cell>
          <cell r="AY70">
            <v>0.76300000000000001</v>
          </cell>
          <cell r="AZ70" t="str">
            <v/>
          </cell>
          <cell r="BA70" t="str">
            <v/>
          </cell>
        </row>
        <row r="71">
          <cell r="B71">
            <v>5</v>
          </cell>
          <cell r="C71" t="str">
            <v/>
          </cell>
          <cell r="D71">
            <v>0.92600000000000005</v>
          </cell>
          <cell r="E71" t="str">
            <v/>
          </cell>
          <cell r="F71">
            <v>0.98799999999999999</v>
          </cell>
          <cell r="G71" t="str">
            <v/>
          </cell>
          <cell r="H71">
            <v>0.996</v>
          </cell>
          <cell r="I71">
            <v>0.89</v>
          </cell>
          <cell r="J71" t="str">
            <v/>
          </cell>
          <cell r="K71" t="str">
            <v/>
          </cell>
          <cell r="L71" t="str">
            <v/>
          </cell>
          <cell r="M71">
            <v>0.97899999999999998</v>
          </cell>
          <cell r="N71" t="str">
            <v/>
          </cell>
          <cell r="O71" t="str">
            <v/>
          </cell>
          <cell r="P71" t="str">
            <v/>
          </cell>
          <cell r="Q71" t="str">
            <v/>
          </cell>
          <cell r="R71">
            <v>1.0900000000000001</v>
          </cell>
          <cell r="S71" t="str">
            <v/>
          </cell>
          <cell r="T71">
            <v>1.105</v>
          </cell>
          <cell r="U71" t="str">
            <v/>
          </cell>
          <cell r="V71" t="str">
            <v/>
          </cell>
          <cell r="W71">
            <v>1.0429999999999999</v>
          </cell>
          <cell r="X71" t="str">
            <v/>
          </cell>
          <cell r="Y71">
            <v>0.84499999999999997</v>
          </cell>
          <cell r="Z71">
            <v>1.02</v>
          </cell>
          <cell r="AA71">
            <v>1.1659999999999999</v>
          </cell>
          <cell r="AB71" t="str">
            <v/>
          </cell>
          <cell r="AC71" t="str">
            <v/>
          </cell>
          <cell r="AD71">
            <v>0.76</v>
          </cell>
          <cell r="AE71" t="str">
            <v/>
          </cell>
          <cell r="AF71" t="str">
            <v/>
          </cell>
          <cell r="AG71" t="str">
            <v/>
          </cell>
          <cell r="AH71">
            <v>0.90900000000000003</v>
          </cell>
          <cell r="AI71" t="str">
            <v/>
          </cell>
          <cell r="AJ71" t="str">
            <v/>
          </cell>
          <cell r="AK71">
            <v>0.85199999999999998</v>
          </cell>
          <cell r="AL71" t="str">
            <v/>
          </cell>
          <cell r="AM71" t="str">
            <v/>
          </cell>
          <cell r="AN71" t="str">
            <v/>
          </cell>
          <cell r="AO71">
            <v>0.76600000000000001</v>
          </cell>
          <cell r="AP71" t="str">
            <v/>
          </cell>
          <cell r="AQ71" t="str">
            <v/>
          </cell>
          <cell r="AR71" t="str">
            <v/>
          </cell>
          <cell r="AS71">
            <v>0.9</v>
          </cell>
          <cell r="AT71">
            <v>0.80900000000000005</v>
          </cell>
          <cell r="AU71" t="str">
            <v/>
          </cell>
          <cell r="AV71">
            <v>1.18</v>
          </cell>
          <cell r="AW71" t="str">
            <v/>
          </cell>
          <cell r="AX71" t="str">
            <v/>
          </cell>
          <cell r="AY71" t="str">
            <v/>
          </cell>
          <cell r="AZ71" t="str">
            <v/>
          </cell>
          <cell r="BA71" t="str">
            <v/>
          </cell>
        </row>
        <row r="72">
          <cell r="B72">
            <v>6</v>
          </cell>
          <cell r="C72" t="str">
            <v/>
          </cell>
          <cell r="D72">
            <v>1.25</v>
          </cell>
          <cell r="E72" t="str">
            <v/>
          </cell>
          <cell r="F72">
            <v>0.92200000000000004</v>
          </cell>
          <cell r="G72" t="str">
            <v/>
          </cell>
          <cell r="H72">
            <v>1.0860000000000001</v>
          </cell>
          <cell r="I72">
            <v>0.91</v>
          </cell>
          <cell r="J72" t="str">
            <v/>
          </cell>
          <cell r="K72" t="str">
            <v/>
          </cell>
          <cell r="L72" t="str">
            <v/>
          </cell>
          <cell r="M72">
            <v>1.4359999999999999</v>
          </cell>
          <cell r="N72" t="str">
            <v/>
          </cell>
          <cell r="O72" t="str">
            <v/>
          </cell>
          <cell r="P72" t="str">
            <v/>
          </cell>
          <cell r="Q72">
            <v>0.77900000000000003</v>
          </cell>
          <cell r="R72" t="str">
            <v/>
          </cell>
          <cell r="S72" t="str">
            <v/>
          </cell>
          <cell r="T72" t="str">
            <v/>
          </cell>
          <cell r="U72" t="str">
            <v/>
          </cell>
          <cell r="V72">
            <v>1.0229999999999999</v>
          </cell>
          <cell r="W72" t="str">
            <v/>
          </cell>
          <cell r="X72" t="str">
            <v/>
          </cell>
          <cell r="Y72">
            <v>1.36</v>
          </cell>
          <cell r="Z72">
            <v>1.3069999999999999</v>
          </cell>
          <cell r="AA72" t="str">
            <v/>
          </cell>
          <cell r="AB72" t="str">
            <v/>
          </cell>
          <cell r="AC72" t="str">
            <v/>
          </cell>
          <cell r="AD72">
            <v>0.86499999999999999</v>
          </cell>
          <cell r="AE72" t="str">
            <v/>
          </cell>
          <cell r="AF72" t="str">
            <v/>
          </cell>
          <cell r="AG72" t="str">
            <v/>
          </cell>
          <cell r="AH72" t="str">
            <v/>
          </cell>
          <cell r="AI72" t="str">
            <v/>
          </cell>
          <cell r="AJ72" t="str">
            <v/>
          </cell>
          <cell r="AK72">
            <v>0.65700000000000003</v>
          </cell>
          <cell r="AL72">
            <v>0.873</v>
          </cell>
          <cell r="AM72" t="str">
            <v/>
          </cell>
          <cell r="AN72" t="str">
            <v/>
          </cell>
          <cell r="AO72" t="str">
            <v/>
          </cell>
          <cell r="AP72" t="str">
            <v/>
          </cell>
          <cell r="AQ72" t="str">
            <v/>
          </cell>
          <cell r="AR72" t="str">
            <v/>
          </cell>
          <cell r="AS72">
            <v>0.95</v>
          </cell>
          <cell r="AT72">
            <v>1.0169999999999999</v>
          </cell>
          <cell r="AU72" t="str">
            <v/>
          </cell>
          <cell r="AV72">
            <v>1.25</v>
          </cell>
          <cell r="AW72" t="str">
            <v/>
          </cell>
          <cell r="AX72" t="str">
            <v/>
          </cell>
          <cell r="AY72" t="str">
            <v/>
          </cell>
          <cell r="AZ72" t="str">
            <v/>
          </cell>
          <cell r="BA72" t="str">
            <v/>
          </cell>
        </row>
        <row r="73">
          <cell r="B73">
            <v>7</v>
          </cell>
          <cell r="C73" t="str">
            <v/>
          </cell>
          <cell r="D73" t="str">
            <v/>
          </cell>
          <cell r="E73" t="str">
            <v/>
          </cell>
          <cell r="F73" t="str">
            <v/>
          </cell>
          <cell r="G73" t="str">
            <v/>
          </cell>
          <cell r="H73" t="str">
            <v/>
          </cell>
          <cell r="I73">
            <v>1.075</v>
          </cell>
          <cell r="J73" t="str">
            <v/>
          </cell>
          <cell r="K73" t="str">
            <v/>
          </cell>
          <cell r="L73">
            <v>1.3919999999999999</v>
          </cell>
          <cell r="M73" t="str">
            <v/>
          </cell>
          <cell r="N73" t="str">
            <v/>
          </cell>
          <cell r="O73" t="str">
            <v/>
          </cell>
          <cell r="P73" t="str">
            <v/>
          </cell>
          <cell r="Q73">
            <v>1.141</v>
          </cell>
          <cell r="R73">
            <v>1.075</v>
          </cell>
          <cell r="S73" t="str">
            <v/>
          </cell>
          <cell r="T73" t="str">
            <v/>
          </cell>
          <cell r="U73" t="str">
            <v/>
          </cell>
          <cell r="V73">
            <v>0.90400000000000003</v>
          </cell>
          <cell r="W73" t="str">
            <v/>
          </cell>
          <cell r="X73" t="str">
            <v/>
          </cell>
          <cell r="Y73" t="str">
            <v/>
          </cell>
          <cell r="Z73" t="str">
            <v/>
          </cell>
          <cell r="AA73" t="str">
            <v/>
          </cell>
          <cell r="AB73" t="str">
            <v/>
          </cell>
          <cell r="AC73" t="str">
            <v/>
          </cell>
          <cell r="AD73" t="str">
            <v/>
          </cell>
          <cell r="AE73" t="str">
            <v/>
          </cell>
          <cell r="AF73" t="str">
            <v/>
          </cell>
          <cell r="AG73" t="str">
            <v/>
          </cell>
          <cell r="AH73" t="str">
            <v/>
          </cell>
          <cell r="AI73" t="str">
            <v/>
          </cell>
          <cell r="AJ73" t="str">
            <v/>
          </cell>
          <cell r="AK73">
            <v>1.319</v>
          </cell>
          <cell r="AL73" t="str">
            <v/>
          </cell>
          <cell r="AM73" t="str">
            <v/>
          </cell>
          <cell r="AN73" t="str">
            <v/>
          </cell>
          <cell r="AO73">
            <v>1.2789999999999999</v>
          </cell>
          <cell r="AP73" t="str">
            <v/>
          </cell>
          <cell r="AQ73" t="str">
            <v/>
          </cell>
          <cell r="AR73" t="str">
            <v/>
          </cell>
          <cell r="AS73" t="str">
            <v/>
          </cell>
          <cell r="AT73">
            <v>1.1559999999999999</v>
          </cell>
          <cell r="AU73" t="str">
            <v/>
          </cell>
          <cell r="AV73">
            <v>1.35</v>
          </cell>
          <cell r="AW73" t="str">
            <v/>
          </cell>
          <cell r="AX73" t="str">
            <v/>
          </cell>
          <cell r="AY73" t="str">
            <v/>
          </cell>
          <cell r="AZ73" t="str">
            <v/>
          </cell>
          <cell r="BA73" t="str">
            <v/>
          </cell>
        </row>
        <row r="74">
          <cell r="B74">
            <v>8</v>
          </cell>
          <cell r="C74" t="str">
            <v/>
          </cell>
          <cell r="D74" t="str">
            <v/>
          </cell>
          <cell r="E74" t="str">
            <v/>
          </cell>
          <cell r="F74" t="str">
            <v/>
          </cell>
          <cell r="G74" t="str">
            <v/>
          </cell>
          <cell r="H74" t="str">
            <v/>
          </cell>
          <cell r="I74">
            <v>0.86</v>
          </cell>
          <cell r="J74" t="str">
            <v/>
          </cell>
          <cell r="K74" t="str">
            <v/>
          </cell>
          <cell r="L74">
            <v>1.399</v>
          </cell>
          <cell r="M74" t="str">
            <v/>
          </cell>
          <cell r="N74" t="str">
            <v/>
          </cell>
          <cell r="O74" t="str">
            <v/>
          </cell>
          <cell r="P74" t="str">
            <v/>
          </cell>
          <cell r="Q74">
            <v>0.79900000000000004</v>
          </cell>
          <cell r="R74" t="str">
            <v/>
          </cell>
          <cell r="S74" t="str">
            <v/>
          </cell>
          <cell r="T74" t="str">
            <v/>
          </cell>
          <cell r="U74" t="str">
            <v/>
          </cell>
          <cell r="V74">
            <v>0.95199999999999996</v>
          </cell>
          <cell r="W74" t="str">
            <v/>
          </cell>
          <cell r="X74" t="str">
            <v/>
          </cell>
          <cell r="Y74" t="str">
            <v/>
          </cell>
          <cell r="Z74" t="str">
            <v/>
          </cell>
          <cell r="AA74" t="str">
            <v/>
          </cell>
          <cell r="AB74" t="str">
            <v/>
          </cell>
          <cell r="AC74" t="str">
            <v/>
          </cell>
          <cell r="AD74" t="str">
            <v/>
          </cell>
          <cell r="AE74" t="str">
            <v/>
          </cell>
          <cell r="AF74" t="str">
            <v/>
          </cell>
          <cell r="AG74" t="str">
            <v/>
          </cell>
          <cell r="AH74">
            <v>1.0409999999999999</v>
          </cell>
          <cell r="AI74" t="str">
            <v/>
          </cell>
          <cell r="AJ74" t="str">
            <v/>
          </cell>
          <cell r="AK74">
            <v>0.64800000000000002</v>
          </cell>
          <cell r="AL74">
            <v>1.0680000000000001</v>
          </cell>
          <cell r="AM74" t="str">
            <v/>
          </cell>
          <cell r="AN74" t="str">
            <v/>
          </cell>
          <cell r="AO74" t="str">
            <v/>
          </cell>
          <cell r="AP74" t="str">
            <v/>
          </cell>
          <cell r="AQ74" t="str">
            <v/>
          </cell>
          <cell r="AR74" t="str">
            <v/>
          </cell>
          <cell r="AS74" t="str">
            <v/>
          </cell>
          <cell r="AT74">
            <v>1.1399999999999999</v>
          </cell>
          <cell r="AU74" t="str">
            <v/>
          </cell>
          <cell r="AV74">
            <v>1.35</v>
          </cell>
          <cell r="AW74" t="str">
            <v/>
          </cell>
          <cell r="AX74" t="str">
            <v/>
          </cell>
          <cell r="AY74" t="str">
            <v/>
          </cell>
          <cell r="AZ74" t="str">
            <v/>
          </cell>
          <cell r="BA74" t="str">
            <v/>
          </cell>
        </row>
        <row r="75">
          <cell r="B75">
            <v>9</v>
          </cell>
          <cell r="C75" t="str">
            <v/>
          </cell>
          <cell r="D75" t="str">
            <v/>
          </cell>
          <cell r="E75" t="str">
            <v/>
          </cell>
          <cell r="F75" t="str">
            <v/>
          </cell>
          <cell r="G75" t="str">
            <v/>
          </cell>
          <cell r="H75" t="str">
            <v/>
          </cell>
          <cell r="I75">
            <v>1.01</v>
          </cell>
          <cell r="J75" t="str">
            <v/>
          </cell>
          <cell r="K75" t="str">
            <v/>
          </cell>
          <cell r="L75">
            <v>1.0169999999999999</v>
          </cell>
          <cell r="M75" t="str">
            <v/>
          </cell>
          <cell r="N75" t="str">
            <v/>
          </cell>
          <cell r="O75" t="str">
            <v/>
          </cell>
          <cell r="P75" t="str">
            <v/>
          </cell>
          <cell r="Q75">
            <v>1.038</v>
          </cell>
          <cell r="R75" t="str">
            <v/>
          </cell>
          <cell r="S75" t="str">
            <v/>
          </cell>
          <cell r="T75" t="str">
            <v/>
          </cell>
          <cell r="U75" t="str">
            <v/>
          </cell>
          <cell r="V75">
            <v>0.99399999999999999</v>
          </cell>
          <cell r="W75" t="str">
            <v/>
          </cell>
          <cell r="X75" t="str">
            <v/>
          </cell>
          <cell r="Y75" t="str">
            <v/>
          </cell>
          <cell r="Z75" t="str">
            <v/>
          </cell>
          <cell r="AA75" t="str">
            <v/>
          </cell>
          <cell r="AB75" t="str">
            <v/>
          </cell>
          <cell r="AC75" t="str">
            <v/>
          </cell>
          <cell r="AD75" t="str">
            <v/>
          </cell>
          <cell r="AE75" t="str">
            <v/>
          </cell>
          <cell r="AF75" t="str">
            <v/>
          </cell>
          <cell r="AG75" t="str">
            <v/>
          </cell>
          <cell r="AH75">
            <v>1.18</v>
          </cell>
          <cell r="AI75" t="str">
            <v/>
          </cell>
          <cell r="AJ75" t="str">
            <v/>
          </cell>
          <cell r="AK75">
            <v>0.9</v>
          </cell>
          <cell r="AL75">
            <v>1.0680000000000001</v>
          </cell>
          <cell r="AM75" t="str">
            <v/>
          </cell>
          <cell r="AN75" t="str">
            <v/>
          </cell>
          <cell r="AO75">
            <v>0.68300000000000005</v>
          </cell>
          <cell r="AP75" t="str">
            <v/>
          </cell>
          <cell r="AQ75" t="str">
            <v/>
          </cell>
          <cell r="AR75" t="str">
            <v/>
          </cell>
          <cell r="AS75" t="str">
            <v/>
          </cell>
          <cell r="AT75">
            <v>1.3540000000000001</v>
          </cell>
          <cell r="AU75" t="str">
            <v/>
          </cell>
          <cell r="AV75">
            <v>1.1479999999999999</v>
          </cell>
          <cell r="AW75" t="str">
            <v/>
          </cell>
          <cell r="AX75" t="str">
            <v/>
          </cell>
          <cell r="AY75" t="str">
            <v/>
          </cell>
          <cell r="AZ75" t="str">
            <v/>
          </cell>
          <cell r="BA75" t="str">
            <v/>
          </cell>
        </row>
        <row r="76">
          <cell r="B76">
            <v>10</v>
          </cell>
          <cell r="C76" t="str">
            <v/>
          </cell>
          <cell r="D76" t="str">
            <v/>
          </cell>
          <cell r="E76" t="str">
            <v/>
          </cell>
          <cell r="F76" t="str">
            <v/>
          </cell>
          <cell r="G76" t="str">
            <v/>
          </cell>
          <cell r="H76" t="str">
            <v/>
          </cell>
          <cell r="I76" t="str">
            <v/>
          </cell>
          <cell r="J76" t="str">
            <v/>
          </cell>
          <cell r="K76" t="str">
            <v/>
          </cell>
          <cell r="L76">
            <v>0.87</v>
          </cell>
          <cell r="M76" t="str">
            <v/>
          </cell>
          <cell r="N76" t="str">
            <v/>
          </cell>
          <cell r="O76" t="str">
            <v/>
          </cell>
          <cell r="P76" t="str">
            <v/>
          </cell>
          <cell r="Q76" t="str">
            <v/>
          </cell>
          <cell r="R76" t="str">
            <v/>
          </cell>
          <cell r="S76" t="str">
            <v/>
          </cell>
          <cell r="T76" t="str">
            <v/>
          </cell>
          <cell r="U76" t="str">
            <v/>
          </cell>
          <cell r="V76">
            <v>1.046</v>
          </cell>
          <cell r="W76" t="str">
            <v/>
          </cell>
          <cell r="X76" t="str">
            <v/>
          </cell>
          <cell r="Y76" t="str">
            <v/>
          </cell>
          <cell r="Z76" t="str">
            <v/>
          </cell>
          <cell r="AA76" t="str">
            <v/>
          </cell>
          <cell r="AB76" t="str">
            <v/>
          </cell>
          <cell r="AC76" t="str">
            <v/>
          </cell>
          <cell r="AD76" t="str">
            <v/>
          </cell>
          <cell r="AE76" t="str">
            <v/>
          </cell>
          <cell r="AF76" t="str">
            <v/>
          </cell>
          <cell r="AG76" t="str">
            <v/>
          </cell>
          <cell r="AH76" t="str">
            <v/>
          </cell>
          <cell r="AI76" t="str">
            <v/>
          </cell>
          <cell r="AJ76" t="str">
            <v/>
          </cell>
          <cell r="AK76" t="str">
            <v/>
          </cell>
          <cell r="AL76">
            <v>1.0680000000000001</v>
          </cell>
          <cell r="AM76" t="str">
            <v/>
          </cell>
          <cell r="AN76" t="str">
            <v/>
          </cell>
          <cell r="AO76" t="str">
            <v/>
          </cell>
          <cell r="AP76" t="str">
            <v/>
          </cell>
          <cell r="AQ76" t="str">
            <v/>
          </cell>
          <cell r="AR76" t="str">
            <v/>
          </cell>
          <cell r="AS76" t="str">
            <v/>
          </cell>
          <cell r="AT76">
            <v>1.024</v>
          </cell>
          <cell r="AU76" t="str">
            <v/>
          </cell>
          <cell r="AV76">
            <v>1.03</v>
          </cell>
          <cell r="AW76" t="str">
            <v/>
          </cell>
          <cell r="AX76" t="str">
            <v/>
          </cell>
          <cell r="AY76" t="str">
            <v/>
          </cell>
          <cell r="AZ76" t="str">
            <v/>
          </cell>
          <cell r="BA76" t="str">
            <v/>
          </cell>
        </row>
        <row r="77">
          <cell r="B77">
            <v>11</v>
          </cell>
          <cell r="C77" t="str">
            <v/>
          </cell>
          <cell r="D77" t="str">
            <v/>
          </cell>
          <cell r="E77" t="str">
            <v/>
          </cell>
          <cell r="F77" t="str">
            <v/>
          </cell>
          <cell r="G77" t="str">
            <v/>
          </cell>
          <cell r="H77" t="str">
            <v/>
          </cell>
          <cell r="I77" t="str">
            <v/>
          </cell>
          <cell r="J77" t="str">
            <v/>
          </cell>
          <cell r="K77" t="str">
            <v/>
          </cell>
          <cell r="L77">
            <v>1.5069999999999999</v>
          </cell>
          <cell r="M77" t="str">
            <v/>
          </cell>
          <cell r="N77" t="str">
            <v/>
          </cell>
          <cell r="O77" t="str">
            <v/>
          </cell>
          <cell r="P77" t="str">
            <v/>
          </cell>
          <cell r="Q77" t="str">
            <v/>
          </cell>
          <cell r="R77" t="str">
            <v/>
          </cell>
          <cell r="S77" t="str">
            <v/>
          </cell>
          <cell r="T77" t="str">
            <v/>
          </cell>
          <cell r="U77" t="str">
            <v/>
          </cell>
          <cell r="V77" t="str">
            <v/>
          </cell>
          <cell r="W77" t="str">
            <v/>
          </cell>
          <cell r="X77" t="str">
            <v/>
          </cell>
          <cell r="Y77" t="str">
            <v/>
          </cell>
          <cell r="Z77" t="str">
            <v/>
          </cell>
          <cell r="AA77" t="str">
            <v/>
          </cell>
          <cell r="AB77" t="str">
            <v/>
          </cell>
          <cell r="AC77" t="str">
            <v/>
          </cell>
          <cell r="AD77" t="str">
            <v/>
          </cell>
          <cell r="AE77" t="str">
            <v/>
          </cell>
          <cell r="AF77" t="str">
            <v/>
          </cell>
          <cell r="AG77" t="str">
            <v/>
          </cell>
          <cell r="AH77">
            <v>0.97599999999999998</v>
          </cell>
          <cell r="AI77" t="str">
            <v/>
          </cell>
          <cell r="AJ77" t="str">
            <v/>
          </cell>
          <cell r="AK77">
            <v>0.80500000000000005</v>
          </cell>
          <cell r="AL77">
            <v>0.78</v>
          </cell>
          <cell r="AM77" t="str">
            <v/>
          </cell>
          <cell r="AN77" t="str">
            <v/>
          </cell>
          <cell r="AO77">
            <v>0.95299999999999996</v>
          </cell>
          <cell r="AP77" t="str">
            <v/>
          </cell>
          <cell r="AQ77" t="str">
            <v/>
          </cell>
          <cell r="AR77" t="str">
            <v/>
          </cell>
          <cell r="AS77" t="str">
            <v/>
          </cell>
          <cell r="AT77">
            <v>0.6</v>
          </cell>
          <cell r="AU77" t="str">
            <v/>
          </cell>
          <cell r="AV77">
            <v>0.91</v>
          </cell>
          <cell r="AW77" t="str">
            <v/>
          </cell>
          <cell r="AX77" t="str">
            <v/>
          </cell>
          <cell r="AY77" t="str">
            <v/>
          </cell>
          <cell r="AZ77" t="str">
            <v/>
          </cell>
          <cell r="BA77" t="str">
            <v/>
          </cell>
        </row>
        <row r="78">
          <cell r="B78">
            <v>12</v>
          </cell>
          <cell r="C78" t="str">
            <v/>
          </cell>
          <cell r="D78" t="str">
            <v/>
          </cell>
          <cell r="E78" t="str">
            <v/>
          </cell>
          <cell r="F78" t="str">
            <v/>
          </cell>
          <cell r="G78" t="str">
            <v/>
          </cell>
          <cell r="H78" t="str">
            <v/>
          </cell>
          <cell r="I78" t="str">
            <v/>
          </cell>
          <cell r="J78" t="str">
            <v/>
          </cell>
          <cell r="K78" t="str">
            <v/>
          </cell>
          <cell r="L78">
            <v>1.25</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cell r="Z78" t="str">
            <v/>
          </cell>
          <cell r="AA78" t="str">
            <v/>
          </cell>
          <cell r="AB78" t="str">
            <v/>
          </cell>
          <cell r="AC78" t="str">
            <v/>
          </cell>
          <cell r="AD78" t="str">
            <v/>
          </cell>
          <cell r="AE78" t="str">
            <v/>
          </cell>
          <cell r="AF78" t="str">
            <v/>
          </cell>
          <cell r="AG78" t="str">
            <v/>
          </cell>
          <cell r="AH78">
            <v>0.97599999999999998</v>
          </cell>
          <cell r="AI78" t="str">
            <v/>
          </cell>
          <cell r="AJ78" t="str">
            <v/>
          </cell>
          <cell r="AK78" t="str">
            <v/>
          </cell>
          <cell r="AL78">
            <v>1.2</v>
          </cell>
          <cell r="AM78" t="str">
            <v/>
          </cell>
          <cell r="AN78" t="str">
            <v/>
          </cell>
          <cell r="AO78" t="str">
            <v/>
          </cell>
          <cell r="AP78" t="str">
            <v/>
          </cell>
          <cell r="AQ78" t="str">
            <v/>
          </cell>
          <cell r="AR78" t="str">
            <v/>
          </cell>
          <cell r="AS78" t="str">
            <v/>
          </cell>
          <cell r="AT78">
            <v>0.90800000000000003</v>
          </cell>
          <cell r="AU78" t="str">
            <v/>
          </cell>
          <cell r="AV78">
            <v>1.2270000000000001</v>
          </cell>
          <cell r="AW78" t="str">
            <v/>
          </cell>
          <cell r="AX78" t="str">
            <v/>
          </cell>
          <cell r="AY78" t="str">
            <v/>
          </cell>
          <cell r="AZ78" t="str">
            <v/>
          </cell>
          <cell r="BA78" t="str">
            <v/>
          </cell>
        </row>
        <row r="79">
          <cell r="B79">
            <v>13</v>
          </cell>
          <cell r="C79" t="str">
            <v/>
          </cell>
          <cell r="D79" t="str">
            <v/>
          </cell>
          <cell r="E79" t="str">
            <v/>
          </cell>
          <cell r="F79" t="str">
            <v/>
          </cell>
          <cell r="G79">
            <v>1.224</v>
          </cell>
          <cell r="H79" t="str">
            <v/>
          </cell>
          <cell r="I79" t="str">
            <v/>
          </cell>
          <cell r="J79" t="str">
            <v/>
          </cell>
          <cell r="K79" t="str">
            <v/>
          </cell>
          <cell r="L79">
            <v>0.94</v>
          </cell>
          <cell r="M79" t="str">
            <v/>
          </cell>
          <cell r="N79" t="str">
            <v/>
          </cell>
          <cell r="O79" t="str">
            <v/>
          </cell>
          <cell r="P79" t="str">
            <v/>
          </cell>
          <cell r="Q79" t="str">
            <v/>
          </cell>
          <cell r="R79" t="str">
            <v/>
          </cell>
          <cell r="S79" t="str">
            <v/>
          </cell>
          <cell r="T79" t="str">
            <v/>
          </cell>
          <cell r="U79" t="str">
            <v/>
          </cell>
          <cell r="V79" t="str">
            <v/>
          </cell>
          <cell r="W79" t="str">
            <v/>
          </cell>
          <cell r="X79" t="str">
            <v/>
          </cell>
          <cell r="Y79" t="str">
            <v/>
          </cell>
          <cell r="Z79" t="str">
            <v/>
          </cell>
          <cell r="AA79" t="str">
            <v/>
          </cell>
          <cell r="AB79" t="str">
            <v/>
          </cell>
          <cell r="AC79" t="str">
            <v/>
          </cell>
          <cell r="AD79" t="str">
            <v/>
          </cell>
          <cell r="AE79" t="str">
            <v/>
          </cell>
          <cell r="AF79" t="str">
            <v/>
          </cell>
          <cell r="AG79" t="str">
            <v/>
          </cell>
          <cell r="AH79">
            <v>0.96099999999999997</v>
          </cell>
          <cell r="AI79" t="str">
            <v/>
          </cell>
          <cell r="AJ79" t="str">
            <v/>
          </cell>
          <cell r="AK79">
            <v>1.2949999999999999</v>
          </cell>
          <cell r="AL79">
            <v>1.45</v>
          </cell>
          <cell r="AM79" t="str">
            <v/>
          </cell>
          <cell r="AN79" t="str">
            <v/>
          </cell>
          <cell r="AO79" t="str">
            <v/>
          </cell>
          <cell r="AP79" t="str">
            <v/>
          </cell>
          <cell r="AQ79" t="str">
            <v/>
          </cell>
          <cell r="AR79" t="str">
            <v/>
          </cell>
          <cell r="AS79" t="str">
            <v/>
          </cell>
          <cell r="AT79">
            <v>0.85499999999999998</v>
          </cell>
          <cell r="AU79" t="str">
            <v/>
          </cell>
          <cell r="AV79">
            <v>1.1100000000000001</v>
          </cell>
          <cell r="AW79" t="str">
            <v/>
          </cell>
          <cell r="AX79" t="str">
            <v/>
          </cell>
          <cell r="AY79" t="str">
            <v/>
          </cell>
          <cell r="AZ79" t="str">
            <v/>
          </cell>
          <cell r="BA79" t="str">
            <v/>
          </cell>
        </row>
        <row r="80">
          <cell r="B80">
            <v>14</v>
          </cell>
          <cell r="C80" t="str">
            <v/>
          </cell>
          <cell r="D80" t="str">
            <v/>
          </cell>
          <cell r="E80" t="str">
            <v/>
          </cell>
          <cell r="F80" t="str">
            <v/>
          </cell>
          <cell r="G80">
            <v>1.0940000000000001</v>
          </cell>
          <cell r="H80" t="str">
            <v/>
          </cell>
          <cell r="I80" t="str">
            <v/>
          </cell>
          <cell r="J80" t="str">
            <v/>
          </cell>
          <cell r="K80" t="str">
            <v/>
          </cell>
          <cell r="L80">
            <v>0.91200000000000003</v>
          </cell>
          <cell r="M80" t="str">
            <v/>
          </cell>
          <cell r="N80" t="str">
            <v/>
          </cell>
          <cell r="O80" t="str">
            <v/>
          </cell>
          <cell r="P80" t="str">
            <v/>
          </cell>
          <cell r="Q80" t="str">
            <v/>
          </cell>
          <cell r="R80" t="str">
            <v/>
          </cell>
          <cell r="S80" t="str">
            <v/>
          </cell>
          <cell r="T80" t="str">
            <v/>
          </cell>
          <cell r="U80" t="str">
            <v/>
          </cell>
          <cell r="V80" t="str">
            <v/>
          </cell>
          <cell r="W80" t="str">
            <v/>
          </cell>
          <cell r="X80" t="str">
            <v/>
          </cell>
          <cell r="Y80" t="str">
            <v/>
          </cell>
          <cell r="Z80" t="str">
            <v/>
          </cell>
          <cell r="AA80" t="str">
            <v/>
          </cell>
          <cell r="AB80" t="str">
            <v/>
          </cell>
          <cell r="AC80" t="str">
            <v/>
          </cell>
          <cell r="AD80" t="str">
            <v/>
          </cell>
          <cell r="AE80" t="str">
            <v/>
          </cell>
          <cell r="AF80" t="str">
            <v/>
          </cell>
          <cell r="AG80" t="str">
            <v/>
          </cell>
          <cell r="AH80">
            <v>1.111</v>
          </cell>
          <cell r="AI80" t="str">
            <v/>
          </cell>
          <cell r="AJ80" t="str">
            <v/>
          </cell>
          <cell r="AK80">
            <v>1.1619999999999999</v>
          </cell>
          <cell r="AL80">
            <v>1.355</v>
          </cell>
          <cell r="AM80" t="str">
            <v/>
          </cell>
          <cell r="AN80" t="str">
            <v/>
          </cell>
          <cell r="AO80">
            <v>0.68300000000000005</v>
          </cell>
          <cell r="AP80" t="str">
            <v/>
          </cell>
          <cell r="AQ80" t="str">
            <v/>
          </cell>
          <cell r="AR80" t="str">
            <v/>
          </cell>
          <cell r="AS80" t="str">
            <v/>
          </cell>
          <cell r="AT80">
            <v>1.284</v>
          </cell>
          <cell r="AU80" t="str">
            <v/>
          </cell>
          <cell r="AV80" t="str">
            <v/>
          </cell>
          <cell r="AW80" t="str">
            <v/>
          </cell>
          <cell r="AX80" t="str">
            <v/>
          </cell>
          <cell r="AY80" t="str">
            <v/>
          </cell>
          <cell r="AZ80" t="str">
            <v/>
          </cell>
          <cell r="BA80" t="str">
            <v/>
          </cell>
        </row>
        <row r="81">
          <cell r="B81">
            <v>15</v>
          </cell>
          <cell r="C81" t="str">
            <v/>
          </cell>
          <cell r="D81" t="str">
            <v/>
          </cell>
          <cell r="E81" t="str">
            <v/>
          </cell>
          <cell r="F81" t="str">
            <v/>
          </cell>
          <cell r="G81">
            <v>0.69099999999999995</v>
          </cell>
          <cell r="H81" t="str">
            <v/>
          </cell>
          <cell r="I81" t="str">
            <v/>
          </cell>
          <cell r="J81" t="str">
            <v/>
          </cell>
          <cell r="K81" t="str">
            <v/>
          </cell>
          <cell r="L81">
            <v>1.129</v>
          </cell>
          <cell r="M81" t="str">
            <v/>
          </cell>
          <cell r="N81" t="str">
            <v/>
          </cell>
          <cell r="O81" t="str">
            <v/>
          </cell>
          <cell r="P81" t="str">
            <v/>
          </cell>
          <cell r="Q81">
            <v>0.92900000000000005</v>
          </cell>
          <cell r="R81" t="str">
            <v/>
          </cell>
          <cell r="S81" t="str">
            <v/>
          </cell>
          <cell r="T81" t="str">
            <v/>
          </cell>
          <cell r="U81" t="str">
            <v/>
          </cell>
          <cell r="V81">
            <v>0.748</v>
          </cell>
          <cell r="W81" t="str">
            <v/>
          </cell>
          <cell r="X81" t="str">
            <v/>
          </cell>
          <cell r="Y81" t="str">
            <v/>
          </cell>
          <cell r="Z81" t="str">
            <v/>
          </cell>
          <cell r="AA81" t="str">
            <v/>
          </cell>
          <cell r="AB81" t="str">
            <v/>
          </cell>
          <cell r="AC81" t="str">
            <v/>
          </cell>
          <cell r="AD81" t="str">
            <v/>
          </cell>
          <cell r="AE81" t="str">
            <v/>
          </cell>
          <cell r="AF81" t="str">
            <v/>
          </cell>
          <cell r="AG81" t="str">
            <v/>
          </cell>
          <cell r="AH81">
            <v>0.97599999999999998</v>
          </cell>
          <cell r="AI81" t="str">
            <v/>
          </cell>
          <cell r="AJ81" t="str">
            <v/>
          </cell>
          <cell r="AK81">
            <v>1.1619999999999999</v>
          </cell>
          <cell r="AL81">
            <v>0.71899999999999997</v>
          </cell>
          <cell r="AM81" t="str">
            <v/>
          </cell>
          <cell r="AN81" t="str">
            <v/>
          </cell>
          <cell r="AO81" t="str">
            <v/>
          </cell>
          <cell r="AP81" t="str">
            <v/>
          </cell>
          <cell r="AQ81" t="str">
            <v/>
          </cell>
          <cell r="AR81" t="str">
            <v/>
          </cell>
          <cell r="AS81" t="str">
            <v/>
          </cell>
          <cell r="AT81">
            <v>1.1659999999999999</v>
          </cell>
          <cell r="AU81" t="str">
            <v/>
          </cell>
          <cell r="AV81" t="str">
            <v/>
          </cell>
          <cell r="AW81" t="str">
            <v/>
          </cell>
          <cell r="AX81" t="str">
            <v/>
          </cell>
          <cell r="AY81" t="str">
            <v/>
          </cell>
          <cell r="AZ81" t="str">
            <v/>
          </cell>
          <cell r="BA81" t="str">
            <v/>
          </cell>
        </row>
        <row r="82">
          <cell r="B82">
            <v>16</v>
          </cell>
          <cell r="C82" t="str">
            <v/>
          </cell>
          <cell r="D82" t="str">
            <v/>
          </cell>
          <cell r="E82" t="str">
            <v/>
          </cell>
          <cell r="F82" t="str">
            <v/>
          </cell>
          <cell r="G82">
            <v>0.81299999999999994</v>
          </cell>
          <cell r="H82" t="str">
            <v/>
          </cell>
          <cell r="I82" t="str">
            <v/>
          </cell>
          <cell r="J82" t="str">
            <v/>
          </cell>
          <cell r="K82" t="str">
            <v/>
          </cell>
          <cell r="L82">
            <v>0.98</v>
          </cell>
          <cell r="M82" t="str">
            <v/>
          </cell>
          <cell r="N82" t="str">
            <v/>
          </cell>
          <cell r="O82" t="str">
            <v/>
          </cell>
          <cell r="P82" t="str">
            <v/>
          </cell>
          <cell r="Q82">
            <v>1.093</v>
          </cell>
          <cell r="R82" t="str">
            <v/>
          </cell>
          <cell r="S82" t="str">
            <v/>
          </cell>
          <cell r="T82" t="str">
            <v/>
          </cell>
          <cell r="U82" t="str">
            <v/>
          </cell>
          <cell r="V82">
            <v>1.042</v>
          </cell>
          <cell r="W82" t="str">
            <v/>
          </cell>
          <cell r="X82" t="str">
            <v/>
          </cell>
          <cell r="Y82" t="str">
            <v/>
          </cell>
          <cell r="Z82" t="str">
            <v/>
          </cell>
          <cell r="AA82" t="str">
            <v/>
          </cell>
          <cell r="AB82" t="str">
            <v/>
          </cell>
          <cell r="AC82" t="str">
            <v/>
          </cell>
          <cell r="AD82" t="str">
            <v/>
          </cell>
          <cell r="AE82" t="str">
            <v/>
          </cell>
          <cell r="AF82" t="str">
            <v/>
          </cell>
          <cell r="AG82" t="str">
            <v/>
          </cell>
          <cell r="AH82">
            <v>0.97599999999999998</v>
          </cell>
          <cell r="AI82" t="str">
            <v/>
          </cell>
          <cell r="AJ82" t="str">
            <v/>
          </cell>
          <cell r="AK82">
            <v>1.2210000000000001</v>
          </cell>
          <cell r="AL82">
            <v>0.82099999999999995</v>
          </cell>
          <cell r="AM82" t="str">
            <v/>
          </cell>
          <cell r="AN82" t="str">
            <v/>
          </cell>
          <cell r="AO82">
            <v>1.02</v>
          </cell>
          <cell r="AP82" t="str">
            <v/>
          </cell>
          <cell r="AQ82" t="str">
            <v/>
          </cell>
          <cell r="AR82" t="str">
            <v/>
          </cell>
          <cell r="AS82" t="str">
            <v/>
          </cell>
          <cell r="AT82">
            <v>1.2390000000000001</v>
          </cell>
          <cell r="AU82" t="str">
            <v/>
          </cell>
          <cell r="AV82" t="str">
            <v/>
          </cell>
          <cell r="AW82" t="str">
            <v/>
          </cell>
          <cell r="AX82" t="str">
            <v/>
          </cell>
          <cell r="AY82" t="str">
            <v/>
          </cell>
          <cell r="AZ82" t="str">
            <v/>
          </cell>
          <cell r="BA82" t="str">
            <v/>
          </cell>
        </row>
        <row r="83">
          <cell r="B83">
            <v>17</v>
          </cell>
          <cell r="C83" t="str">
            <v/>
          </cell>
          <cell r="D83" t="str">
            <v/>
          </cell>
          <cell r="E83" t="str">
            <v/>
          </cell>
          <cell r="F83" t="str">
            <v/>
          </cell>
          <cell r="G83">
            <v>0.95699999999999996</v>
          </cell>
          <cell r="H83" t="str">
            <v/>
          </cell>
          <cell r="I83" t="str">
            <v/>
          </cell>
          <cell r="J83" t="str">
            <v/>
          </cell>
          <cell r="K83" t="str">
            <v/>
          </cell>
          <cell r="L83">
            <v>0.81100000000000005</v>
          </cell>
          <cell r="M83" t="str">
            <v/>
          </cell>
          <cell r="N83" t="str">
            <v/>
          </cell>
          <cell r="O83" t="str">
            <v/>
          </cell>
          <cell r="P83" t="str">
            <v/>
          </cell>
          <cell r="Q83" t="str">
            <v/>
          </cell>
          <cell r="R83" t="str">
            <v/>
          </cell>
          <cell r="S83" t="str">
            <v/>
          </cell>
          <cell r="T83" t="str">
            <v/>
          </cell>
          <cell r="U83" t="str">
            <v/>
          </cell>
          <cell r="V83">
            <v>1.1459999999999999</v>
          </cell>
          <cell r="W83" t="str">
            <v/>
          </cell>
          <cell r="X83" t="str">
            <v/>
          </cell>
          <cell r="Y83" t="str">
            <v/>
          </cell>
          <cell r="Z83" t="str">
            <v/>
          </cell>
          <cell r="AA83" t="str">
            <v/>
          </cell>
          <cell r="AB83" t="str">
            <v/>
          </cell>
          <cell r="AC83" t="str">
            <v/>
          </cell>
          <cell r="AD83" t="str">
            <v/>
          </cell>
          <cell r="AE83" t="str">
            <v/>
          </cell>
          <cell r="AF83" t="str">
            <v/>
          </cell>
          <cell r="AG83" t="str">
            <v/>
          </cell>
          <cell r="AH83">
            <v>0.94399999999999995</v>
          </cell>
          <cell r="AI83" t="str">
            <v/>
          </cell>
          <cell r="AJ83" t="str">
            <v/>
          </cell>
          <cell r="AK83">
            <v>1.046</v>
          </cell>
          <cell r="AL83">
            <v>0.95499999999999996</v>
          </cell>
          <cell r="AM83" t="str">
            <v/>
          </cell>
          <cell r="AN83" t="str">
            <v/>
          </cell>
          <cell r="AO83">
            <v>0.97899999999999998</v>
          </cell>
          <cell r="AP83" t="str">
            <v/>
          </cell>
          <cell r="AQ83" t="str">
            <v/>
          </cell>
          <cell r="AR83" t="str">
            <v/>
          </cell>
          <cell r="AS83" t="str">
            <v/>
          </cell>
          <cell r="AT83" t="str">
            <v/>
          </cell>
          <cell r="AU83" t="str">
            <v/>
          </cell>
          <cell r="AV83" t="str">
            <v/>
          </cell>
          <cell r="AW83" t="str">
            <v/>
          </cell>
          <cell r="AX83" t="str">
            <v/>
          </cell>
          <cell r="AY83" t="str">
            <v/>
          </cell>
          <cell r="AZ83" t="str">
            <v/>
          </cell>
          <cell r="BA83" t="str">
            <v/>
          </cell>
        </row>
        <row r="84">
          <cell r="B84">
            <v>18</v>
          </cell>
          <cell r="C84" t="str">
            <v/>
          </cell>
          <cell r="D84" t="str">
            <v/>
          </cell>
          <cell r="E84" t="str">
            <v/>
          </cell>
          <cell r="F84" t="str">
            <v/>
          </cell>
          <cell r="G84">
            <v>0.79700000000000004</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E84" t="str">
            <v/>
          </cell>
          <cell r="AF84" t="str">
            <v/>
          </cell>
          <cell r="AG84" t="str">
            <v/>
          </cell>
          <cell r="AH84">
            <v>0.60799999999999998</v>
          </cell>
          <cell r="AI84" t="str">
            <v/>
          </cell>
          <cell r="AJ84" t="str">
            <v/>
          </cell>
          <cell r="AK84" t="str">
            <v/>
          </cell>
          <cell r="AL84">
            <v>1.0680000000000001</v>
          </cell>
          <cell r="AM84" t="str">
            <v/>
          </cell>
          <cell r="AN84" t="str">
            <v/>
          </cell>
          <cell r="AO84">
            <v>0.96299999999999997</v>
          </cell>
          <cell r="AP84" t="str">
            <v/>
          </cell>
          <cell r="AQ84" t="str">
            <v/>
          </cell>
          <cell r="AR84" t="str">
            <v/>
          </cell>
          <cell r="AS84" t="str">
            <v/>
          </cell>
          <cell r="AT84" t="str">
            <v/>
          </cell>
          <cell r="AU84" t="str">
            <v/>
          </cell>
          <cell r="AV84" t="str">
            <v/>
          </cell>
          <cell r="AW84" t="str">
            <v/>
          </cell>
          <cell r="AX84" t="str">
            <v/>
          </cell>
          <cell r="AY84" t="str">
            <v/>
          </cell>
          <cell r="AZ84" t="str">
            <v/>
          </cell>
          <cell r="BA84" t="str">
            <v/>
          </cell>
        </row>
        <row r="85">
          <cell r="B85">
            <v>19</v>
          </cell>
          <cell r="C85" t="str">
            <v/>
          </cell>
          <cell r="D85" t="str">
            <v/>
          </cell>
          <cell r="E85" t="str">
            <v/>
          </cell>
          <cell r="F85" t="str">
            <v/>
          </cell>
          <cell r="G85">
            <v>1.014</v>
          </cell>
          <cell r="H85" t="str">
            <v/>
          </cell>
          <cell r="I85" t="str">
            <v/>
          </cell>
          <cell r="J85" t="str">
            <v/>
          </cell>
          <cell r="K85" t="str">
            <v/>
          </cell>
          <cell r="L85" t="str">
            <v/>
          </cell>
          <cell r="M85" t="str">
            <v/>
          </cell>
          <cell r="N85" t="str">
            <v/>
          </cell>
          <cell r="O85" t="str">
            <v/>
          </cell>
          <cell r="P85" t="str">
            <v/>
          </cell>
          <cell r="Q85" t="str">
            <v/>
          </cell>
          <cell r="R85" t="str">
            <v/>
          </cell>
          <cell r="S85" t="str">
            <v/>
          </cell>
          <cell r="T85" t="str">
            <v/>
          </cell>
          <cell r="U85" t="str">
            <v/>
          </cell>
          <cell r="V85" t="str">
            <v/>
          </cell>
          <cell r="W85" t="str">
            <v/>
          </cell>
          <cell r="X85" t="str">
            <v/>
          </cell>
          <cell r="Y85" t="str">
            <v/>
          </cell>
          <cell r="Z85" t="str">
            <v/>
          </cell>
          <cell r="AA85" t="str">
            <v/>
          </cell>
          <cell r="AB85" t="str">
            <v/>
          </cell>
          <cell r="AC85" t="str">
            <v/>
          </cell>
          <cell r="AD85" t="str">
            <v/>
          </cell>
          <cell r="AE85" t="str">
            <v/>
          </cell>
          <cell r="AF85" t="str">
            <v/>
          </cell>
          <cell r="AG85" t="str">
            <v/>
          </cell>
          <cell r="AH85">
            <v>1.052</v>
          </cell>
          <cell r="AI85" t="str">
            <v/>
          </cell>
          <cell r="AJ85" t="str">
            <v/>
          </cell>
          <cell r="AK85">
            <v>1.286</v>
          </cell>
          <cell r="AL85" t="str">
            <v/>
          </cell>
          <cell r="AM85" t="str">
            <v/>
          </cell>
          <cell r="AN85" t="str">
            <v/>
          </cell>
          <cell r="AO85">
            <v>0.97899999999999998</v>
          </cell>
          <cell r="AP85" t="str">
            <v/>
          </cell>
          <cell r="AQ85" t="str">
            <v/>
          </cell>
          <cell r="AR85" t="str">
            <v/>
          </cell>
          <cell r="AS85" t="str">
            <v/>
          </cell>
          <cell r="AT85" t="str">
            <v/>
          </cell>
          <cell r="AU85" t="str">
            <v/>
          </cell>
          <cell r="AV85" t="str">
            <v/>
          </cell>
          <cell r="AW85" t="str">
            <v/>
          </cell>
          <cell r="AX85" t="str">
            <v/>
          </cell>
          <cell r="AY85" t="str">
            <v/>
          </cell>
          <cell r="AZ85" t="str">
            <v/>
          </cell>
          <cell r="BA85" t="str">
            <v/>
          </cell>
        </row>
        <row r="86">
          <cell r="B86">
            <v>20</v>
          </cell>
          <cell r="C86" t="str">
            <v/>
          </cell>
          <cell r="D86" t="str">
            <v/>
          </cell>
          <cell r="E86" t="str">
            <v/>
          </cell>
          <cell r="F86" t="str">
            <v/>
          </cell>
          <cell r="G86">
            <v>1.4319999999999999</v>
          </cell>
          <cell r="H86" t="str">
            <v/>
          </cell>
          <cell r="I86" t="str">
            <v/>
          </cell>
          <cell r="J86" t="str">
            <v/>
          </cell>
          <cell r="K86" t="str">
            <v/>
          </cell>
          <cell r="L86" t="str">
            <v/>
          </cell>
          <cell r="M86" t="str">
            <v/>
          </cell>
          <cell r="N86" t="str">
            <v/>
          </cell>
          <cell r="O86" t="str">
            <v/>
          </cell>
          <cell r="P86" t="str">
            <v/>
          </cell>
          <cell r="Q86" t="str">
            <v/>
          </cell>
          <cell r="R86" t="str">
            <v/>
          </cell>
          <cell r="S86" t="str">
            <v/>
          </cell>
          <cell r="T86" t="str">
            <v/>
          </cell>
          <cell r="U86" t="str">
            <v/>
          </cell>
          <cell r="V86" t="str">
            <v/>
          </cell>
          <cell r="W86" t="str">
            <v/>
          </cell>
          <cell r="X86" t="str">
            <v/>
          </cell>
          <cell r="Y86" t="str">
            <v/>
          </cell>
          <cell r="Z86" t="str">
            <v/>
          </cell>
          <cell r="AA86" t="str">
            <v/>
          </cell>
          <cell r="AB86" t="str">
            <v/>
          </cell>
          <cell r="AC86" t="str">
            <v/>
          </cell>
          <cell r="AD86" t="str">
            <v/>
          </cell>
          <cell r="AE86" t="str">
            <v/>
          </cell>
          <cell r="AF86" t="str">
            <v/>
          </cell>
          <cell r="AG86" t="str">
            <v/>
          </cell>
          <cell r="AH86" t="str">
            <v/>
          </cell>
          <cell r="AI86" t="str">
            <v/>
          </cell>
          <cell r="AJ86" t="str">
            <v/>
          </cell>
          <cell r="AK86">
            <v>1.143</v>
          </cell>
          <cell r="AL86" t="str">
            <v/>
          </cell>
          <cell r="AM86" t="str">
            <v/>
          </cell>
          <cell r="AN86" t="str">
            <v/>
          </cell>
          <cell r="AO86">
            <v>0.95299999999999996</v>
          </cell>
          <cell r="AP86" t="str">
            <v/>
          </cell>
          <cell r="AQ86" t="str">
            <v/>
          </cell>
          <cell r="AR86" t="str">
            <v/>
          </cell>
          <cell r="AS86" t="str">
            <v/>
          </cell>
          <cell r="AT86" t="str">
            <v/>
          </cell>
          <cell r="AU86" t="str">
            <v/>
          </cell>
          <cell r="AV86" t="str">
            <v/>
          </cell>
          <cell r="AW86" t="str">
            <v/>
          </cell>
          <cell r="AX86" t="str">
            <v/>
          </cell>
          <cell r="AY86" t="str">
            <v/>
          </cell>
          <cell r="AZ86" t="str">
            <v/>
          </cell>
          <cell r="BA86" t="str">
            <v/>
          </cell>
        </row>
        <row r="87">
          <cell r="B87">
            <v>21</v>
          </cell>
          <cell r="C87" t="str">
            <v/>
          </cell>
          <cell r="D87" t="str">
            <v/>
          </cell>
          <cell r="E87" t="str">
            <v/>
          </cell>
          <cell r="F87" t="str">
            <v/>
          </cell>
          <cell r="G87">
            <v>1.2050000000000001</v>
          </cell>
          <cell r="H87" t="str">
            <v/>
          </cell>
          <cell r="I87" t="str">
            <v/>
          </cell>
          <cell r="J87" t="str">
            <v/>
          </cell>
          <cell r="K87" t="str">
            <v/>
          </cell>
          <cell r="L87" t="str">
            <v/>
          </cell>
          <cell r="M87" t="str">
            <v/>
          </cell>
          <cell r="N87" t="str">
            <v/>
          </cell>
          <cell r="O87" t="str">
            <v/>
          </cell>
          <cell r="P87" t="str">
            <v/>
          </cell>
          <cell r="Q87" t="str">
            <v/>
          </cell>
          <cell r="R87" t="str">
            <v/>
          </cell>
          <cell r="S87" t="str">
            <v/>
          </cell>
          <cell r="T87" t="str">
            <v/>
          </cell>
          <cell r="U87" t="str">
            <v/>
          </cell>
          <cell r="V87" t="str">
            <v/>
          </cell>
          <cell r="W87" t="str">
            <v/>
          </cell>
          <cell r="X87" t="str">
            <v/>
          </cell>
          <cell r="Y87" t="str">
            <v/>
          </cell>
          <cell r="Z87" t="str">
            <v/>
          </cell>
          <cell r="AA87" t="str">
            <v/>
          </cell>
          <cell r="AB87" t="str">
            <v/>
          </cell>
          <cell r="AC87" t="str">
            <v/>
          </cell>
          <cell r="AD87" t="str">
            <v/>
          </cell>
          <cell r="AE87" t="str">
            <v/>
          </cell>
          <cell r="AF87" t="str">
            <v/>
          </cell>
          <cell r="AG87" t="str">
            <v/>
          </cell>
          <cell r="AH87">
            <v>1.125</v>
          </cell>
          <cell r="AI87" t="str">
            <v/>
          </cell>
          <cell r="AJ87" t="str">
            <v/>
          </cell>
          <cell r="AK87">
            <v>1.286</v>
          </cell>
          <cell r="AL87" t="str">
            <v/>
          </cell>
          <cell r="AM87" t="str">
            <v/>
          </cell>
          <cell r="AN87" t="str">
            <v/>
          </cell>
          <cell r="AO87" t="str">
            <v/>
          </cell>
          <cell r="AP87" t="str">
            <v/>
          </cell>
          <cell r="AQ87" t="str">
            <v/>
          </cell>
          <cell r="AR87" t="str">
            <v/>
          </cell>
          <cell r="AS87" t="str">
            <v/>
          </cell>
          <cell r="AT87" t="str">
            <v/>
          </cell>
          <cell r="AU87" t="str">
            <v/>
          </cell>
          <cell r="AV87" t="str">
            <v/>
          </cell>
          <cell r="AW87" t="str">
            <v/>
          </cell>
          <cell r="AX87" t="str">
            <v/>
          </cell>
          <cell r="AY87" t="str">
            <v/>
          </cell>
          <cell r="AZ87" t="str">
            <v/>
          </cell>
          <cell r="BA87" t="str">
            <v/>
          </cell>
        </row>
        <row r="88">
          <cell r="B88">
            <v>22</v>
          </cell>
          <cell r="C88" t="str">
            <v/>
          </cell>
          <cell r="D88" t="str">
            <v/>
          </cell>
          <cell r="E88" t="str">
            <v/>
          </cell>
          <cell r="F88" t="str">
            <v/>
          </cell>
          <cell r="G88">
            <v>1.175</v>
          </cell>
          <cell r="H88" t="str">
            <v/>
          </cell>
          <cell r="I88" t="str">
            <v/>
          </cell>
          <cell r="J88" t="str">
            <v/>
          </cell>
          <cell r="K88" t="str">
            <v/>
          </cell>
          <cell r="L88" t="str">
            <v/>
          </cell>
          <cell r="M88" t="str">
            <v/>
          </cell>
          <cell r="N88" t="str">
            <v/>
          </cell>
          <cell r="O88" t="str">
            <v/>
          </cell>
          <cell r="P88" t="str">
            <v/>
          </cell>
          <cell r="Q88" t="str">
            <v/>
          </cell>
          <cell r="R88" t="str">
            <v/>
          </cell>
          <cell r="S88" t="str">
            <v/>
          </cell>
          <cell r="T88" t="str">
            <v/>
          </cell>
          <cell r="U88" t="str">
            <v/>
          </cell>
          <cell r="V88" t="str">
            <v/>
          </cell>
          <cell r="W88" t="str">
            <v/>
          </cell>
          <cell r="X88" t="str">
            <v/>
          </cell>
          <cell r="Y88" t="str">
            <v/>
          </cell>
          <cell r="Z88" t="str">
            <v/>
          </cell>
          <cell r="AA88" t="str">
            <v/>
          </cell>
          <cell r="AB88" t="str">
            <v/>
          </cell>
          <cell r="AC88" t="str">
            <v/>
          </cell>
          <cell r="AD88" t="str">
            <v/>
          </cell>
          <cell r="AE88" t="str">
            <v/>
          </cell>
          <cell r="AF88" t="str">
            <v/>
          </cell>
          <cell r="AG88" t="str">
            <v/>
          </cell>
          <cell r="AH88">
            <v>0.73799999999999999</v>
          </cell>
          <cell r="AI88" t="str">
            <v/>
          </cell>
          <cell r="AJ88" t="str">
            <v/>
          </cell>
          <cell r="AK88" t="str">
            <v/>
          </cell>
          <cell r="AL88" t="str">
            <v/>
          </cell>
          <cell r="AM88" t="str">
            <v/>
          </cell>
          <cell r="AN88" t="str">
            <v/>
          </cell>
          <cell r="AO88" t="str">
            <v/>
          </cell>
          <cell r="AP88" t="str">
            <v/>
          </cell>
          <cell r="AQ88" t="str">
            <v/>
          </cell>
          <cell r="AR88" t="str">
            <v/>
          </cell>
          <cell r="AS88" t="str">
            <v/>
          </cell>
          <cell r="AT88" t="str">
            <v/>
          </cell>
          <cell r="AU88" t="str">
            <v/>
          </cell>
          <cell r="AV88" t="str">
            <v/>
          </cell>
          <cell r="AW88" t="str">
            <v/>
          </cell>
          <cell r="AX88" t="str">
            <v/>
          </cell>
          <cell r="AY88" t="str">
            <v/>
          </cell>
          <cell r="AZ88" t="str">
            <v/>
          </cell>
          <cell r="BA88" t="str">
            <v/>
          </cell>
        </row>
        <row r="89">
          <cell r="B89">
            <v>23</v>
          </cell>
          <cell r="C89" t="str">
            <v/>
          </cell>
          <cell r="D89" t="str">
            <v/>
          </cell>
          <cell r="E89" t="str">
            <v/>
          </cell>
          <cell r="F89" t="str">
            <v/>
          </cell>
          <cell r="G89">
            <v>0.89900000000000002</v>
          </cell>
          <cell r="H89" t="str">
            <v/>
          </cell>
          <cell r="I89" t="str">
            <v/>
          </cell>
          <cell r="J89" t="str">
            <v/>
          </cell>
          <cell r="K89" t="str">
            <v/>
          </cell>
          <cell r="L89" t="str">
            <v/>
          </cell>
          <cell r="M89" t="str">
            <v/>
          </cell>
          <cell r="N89" t="str">
            <v/>
          </cell>
          <cell r="O89" t="str">
            <v/>
          </cell>
          <cell r="P89" t="str">
            <v/>
          </cell>
          <cell r="Q89" t="str">
            <v/>
          </cell>
          <cell r="R89" t="str">
            <v/>
          </cell>
          <cell r="S89" t="str">
            <v/>
          </cell>
          <cell r="T89" t="str">
            <v/>
          </cell>
          <cell r="U89" t="str">
            <v/>
          </cell>
          <cell r="V89" t="str">
            <v/>
          </cell>
          <cell r="W89" t="str">
            <v/>
          </cell>
          <cell r="X89" t="str">
            <v/>
          </cell>
          <cell r="Y89" t="str">
            <v/>
          </cell>
          <cell r="Z89" t="str">
            <v/>
          </cell>
          <cell r="AA89" t="str">
            <v/>
          </cell>
          <cell r="AB89" t="str">
            <v/>
          </cell>
          <cell r="AC89" t="str">
            <v/>
          </cell>
          <cell r="AD89" t="str">
            <v/>
          </cell>
          <cell r="AE89" t="str">
            <v/>
          </cell>
          <cell r="AF89" t="str">
            <v/>
          </cell>
          <cell r="AG89" t="str">
            <v/>
          </cell>
          <cell r="AH89" t="str">
            <v/>
          </cell>
          <cell r="AI89" t="str">
            <v/>
          </cell>
          <cell r="AJ89" t="str">
            <v/>
          </cell>
          <cell r="AK89" t="str">
            <v/>
          </cell>
          <cell r="AL89" t="str">
            <v/>
          </cell>
          <cell r="AM89" t="str">
            <v/>
          </cell>
          <cell r="AN89" t="str">
            <v/>
          </cell>
          <cell r="AO89" t="str">
            <v/>
          </cell>
          <cell r="AP89" t="str">
            <v/>
          </cell>
          <cell r="AQ89" t="str">
            <v/>
          </cell>
          <cell r="AR89" t="str">
            <v/>
          </cell>
          <cell r="AS89" t="str">
            <v/>
          </cell>
          <cell r="AT89" t="str">
            <v/>
          </cell>
          <cell r="AU89" t="str">
            <v/>
          </cell>
          <cell r="AV89" t="str">
            <v/>
          </cell>
          <cell r="AW89" t="str">
            <v/>
          </cell>
          <cell r="AX89" t="str">
            <v/>
          </cell>
          <cell r="AY89" t="str">
            <v/>
          </cell>
          <cell r="AZ89" t="str">
            <v/>
          </cell>
          <cell r="BA89" t="str">
            <v/>
          </cell>
        </row>
        <row r="90">
          <cell r="B90">
            <v>24</v>
          </cell>
          <cell r="C90" t="str">
            <v/>
          </cell>
          <cell r="D90" t="str">
            <v/>
          </cell>
          <cell r="E90" t="str">
            <v/>
          </cell>
          <cell r="F90" t="str">
            <v/>
          </cell>
          <cell r="G90">
            <v>1.054</v>
          </cell>
          <cell r="H90" t="str">
            <v/>
          </cell>
          <cell r="I90" t="str">
            <v/>
          </cell>
          <cell r="J90" t="str">
            <v/>
          </cell>
          <cell r="K90" t="str">
            <v/>
          </cell>
          <cell r="L90" t="str">
            <v/>
          </cell>
          <cell r="M90" t="str">
            <v/>
          </cell>
          <cell r="N90" t="str">
            <v/>
          </cell>
          <cell r="O90" t="str">
            <v/>
          </cell>
          <cell r="P90" t="str">
            <v/>
          </cell>
          <cell r="Q90" t="str">
            <v/>
          </cell>
          <cell r="R90" t="str">
            <v/>
          </cell>
          <cell r="S90" t="str">
            <v/>
          </cell>
          <cell r="T90" t="str">
            <v/>
          </cell>
          <cell r="U90" t="str">
            <v/>
          </cell>
          <cell r="V90" t="str">
            <v/>
          </cell>
          <cell r="W90" t="str">
            <v/>
          </cell>
          <cell r="X90" t="str">
            <v/>
          </cell>
          <cell r="Y90" t="str">
            <v/>
          </cell>
          <cell r="Z90" t="str">
            <v/>
          </cell>
          <cell r="AA90" t="str">
            <v/>
          </cell>
          <cell r="AB90" t="str">
            <v/>
          </cell>
          <cell r="AC90" t="str">
            <v/>
          </cell>
          <cell r="AD90" t="str">
            <v/>
          </cell>
          <cell r="AE90" t="str">
            <v/>
          </cell>
          <cell r="AF90" t="str">
            <v/>
          </cell>
          <cell r="AG90" t="str">
            <v/>
          </cell>
          <cell r="AH90" t="str">
            <v/>
          </cell>
          <cell r="AI90" t="str">
            <v/>
          </cell>
          <cell r="AJ90" t="str">
            <v/>
          </cell>
          <cell r="AK90" t="str">
            <v/>
          </cell>
          <cell r="AL90" t="str">
            <v/>
          </cell>
          <cell r="AM90" t="str">
            <v/>
          </cell>
          <cell r="AN90" t="str">
            <v/>
          </cell>
          <cell r="AO90" t="str">
            <v/>
          </cell>
          <cell r="AP90" t="str">
            <v/>
          </cell>
          <cell r="AQ90" t="str">
            <v/>
          </cell>
          <cell r="AR90" t="str">
            <v/>
          </cell>
          <cell r="AS90" t="str">
            <v/>
          </cell>
          <cell r="AT90" t="str">
            <v/>
          </cell>
          <cell r="AU90" t="str">
            <v/>
          </cell>
          <cell r="AV90" t="str">
            <v/>
          </cell>
          <cell r="AW90" t="str">
            <v/>
          </cell>
          <cell r="AX90" t="str">
            <v/>
          </cell>
          <cell r="AY90" t="str">
            <v/>
          </cell>
          <cell r="AZ90" t="str">
            <v/>
          </cell>
          <cell r="BA90" t="str">
            <v/>
          </cell>
        </row>
        <row r="91">
          <cell r="B91">
            <v>25</v>
          </cell>
          <cell r="C91" t="str">
            <v/>
          </cell>
          <cell r="D91" t="str">
            <v/>
          </cell>
          <cell r="E91" t="str">
            <v/>
          </cell>
          <cell r="F91" t="str">
            <v/>
          </cell>
          <cell r="G91">
            <v>0.89600000000000002</v>
          </cell>
          <cell r="H91" t="str">
            <v/>
          </cell>
          <cell r="I91" t="str">
            <v/>
          </cell>
          <cell r="J91" t="str">
            <v/>
          </cell>
          <cell r="K91" t="str">
            <v/>
          </cell>
          <cell r="L91" t="str">
            <v/>
          </cell>
          <cell r="M91" t="str">
            <v/>
          </cell>
          <cell r="N91" t="str">
            <v/>
          </cell>
          <cell r="O91" t="str">
            <v/>
          </cell>
          <cell r="P91" t="str">
            <v/>
          </cell>
          <cell r="Q91" t="str">
            <v/>
          </cell>
          <cell r="R91" t="str">
            <v/>
          </cell>
          <cell r="S91" t="str">
            <v/>
          </cell>
          <cell r="T91" t="str">
            <v/>
          </cell>
          <cell r="U91" t="str">
            <v/>
          </cell>
          <cell r="V91" t="str">
            <v/>
          </cell>
          <cell r="W91" t="str">
            <v/>
          </cell>
          <cell r="X91" t="str">
            <v/>
          </cell>
          <cell r="Y91" t="str">
            <v/>
          </cell>
          <cell r="Z91" t="str">
            <v/>
          </cell>
          <cell r="AA91" t="str">
            <v/>
          </cell>
          <cell r="AB91" t="str">
            <v/>
          </cell>
          <cell r="AC91" t="str">
            <v/>
          </cell>
          <cell r="AD91" t="str">
            <v/>
          </cell>
          <cell r="AE91" t="str">
            <v/>
          </cell>
          <cell r="AF91" t="str">
            <v/>
          </cell>
          <cell r="AG91" t="str">
            <v/>
          </cell>
          <cell r="AH91" t="str">
            <v/>
          </cell>
          <cell r="AI91" t="str">
            <v/>
          </cell>
          <cell r="AJ91" t="str">
            <v/>
          </cell>
          <cell r="AK91" t="str">
            <v/>
          </cell>
          <cell r="AL91" t="str">
            <v/>
          </cell>
          <cell r="AM91" t="str">
            <v/>
          </cell>
          <cell r="AN91" t="str">
            <v/>
          </cell>
          <cell r="AO91" t="str">
            <v/>
          </cell>
          <cell r="AP91" t="str">
            <v/>
          </cell>
          <cell r="AQ91" t="str">
            <v/>
          </cell>
          <cell r="AR91" t="str">
            <v/>
          </cell>
          <cell r="AS91" t="str">
            <v/>
          </cell>
          <cell r="AT91" t="str">
            <v/>
          </cell>
          <cell r="AU91" t="str">
            <v/>
          </cell>
          <cell r="AV91" t="str">
            <v/>
          </cell>
          <cell r="AW91" t="str">
            <v/>
          </cell>
          <cell r="AX91" t="str">
            <v/>
          </cell>
          <cell r="AY91" t="str">
            <v/>
          </cell>
          <cell r="AZ91" t="str">
            <v/>
          </cell>
          <cell r="BA91" t="str">
            <v/>
          </cell>
        </row>
        <row r="92">
          <cell r="B92">
            <v>26</v>
          </cell>
          <cell r="C92" t="str">
            <v/>
          </cell>
          <cell r="D92" t="str">
            <v/>
          </cell>
          <cell r="E92" t="str">
            <v/>
          </cell>
          <cell r="F92" t="str">
            <v/>
          </cell>
          <cell r="G92">
            <v>1.1319999999999999</v>
          </cell>
          <cell r="H92" t="str">
            <v/>
          </cell>
          <cell r="I92" t="str">
            <v/>
          </cell>
          <cell r="J92" t="str">
            <v/>
          </cell>
          <cell r="K92" t="str">
            <v/>
          </cell>
          <cell r="L92" t="str">
            <v/>
          </cell>
          <cell r="M92" t="str">
            <v/>
          </cell>
          <cell r="N92" t="str">
            <v/>
          </cell>
          <cell r="O92" t="str">
            <v/>
          </cell>
          <cell r="P92" t="str">
            <v/>
          </cell>
          <cell r="Q92" t="str">
            <v/>
          </cell>
          <cell r="R92" t="str">
            <v/>
          </cell>
          <cell r="S92" t="str">
            <v/>
          </cell>
          <cell r="T92" t="str">
            <v/>
          </cell>
          <cell r="U92" t="str">
            <v/>
          </cell>
          <cell r="V92" t="str">
            <v/>
          </cell>
          <cell r="W92" t="str">
            <v/>
          </cell>
          <cell r="X92" t="str">
            <v/>
          </cell>
          <cell r="Y92" t="str">
            <v/>
          </cell>
          <cell r="Z92" t="str">
            <v/>
          </cell>
          <cell r="AA92" t="str">
            <v/>
          </cell>
          <cell r="AB92" t="str">
            <v/>
          </cell>
          <cell r="AC92" t="str">
            <v/>
          </cell>
          <cell r="AD92" t="str">
            <v/>
          </cell>
          <cell r="AE92" t="str">
            <v/>
          </cell>
          <cell r="AF92" t="str">
            <v/>
          </cell>
          <cell r="AG92" t="str">
            <v/>
          </cell>
          <cell r="AH92" t="str">
            <v/>
          </cell>
          <cell r="AI92" t="str">
            <v/>
          </cell>
          <cell r="AJ92" t="str">
            <v/>
          </cell>
          <cell r="AK92" t="str">
            <v/>
          </cell>
          <cell r="AL92" t="str">
            <v/>
          </cell>
          <cell r="AM92" t="str">
            <v/>
          </cell>
          <cell r="AN92" t="str">
            <v/>
          </cell>
          <cell r="AO92" t="str">
            <v/>
          </cell>
          <cell r="AP92" t="str">
            <v/>
          </cell>
          <cell r="AQ92" t="str">
            <v/>
          </cell>
          <cell r="AR92" t="str">
            <v/>
          </cell>
          <cell r="AS92" t="str">
            <v/>
          </cell>
          <cell r="AT92" t="str">
            <v/>
          </cell>
          <cell r="AU92" t="str">
            <v/>
          </cell>
          <cell r="AV92" t="str">
            <v/>
          </cell>
          <cell r="AW92" t="str">
            <v/>
          </cell>
          <cell r="AX92" t="str">
            <v/>
          </cell>
          <cell r="AY92" t="str">
            <v/>
          </cell>
          <cell r="AZ92" t="str">
            <v/>
          </cell>
          <cell r="BA92" t="str">
            <v/>
          </cell>
        </row>
        <row r="93">
          <cell r="B93">
            <v>27</v>
          </cell>
          <cell r="C93" t="str">
            <v/>
          </cell>
          <cell r="D93" t="str">
            <v/>
          </cell>
          <cell r="E93" t="str">
            <v/>
          </cell>
          <cell r="F93" t="str">
            <v/>
          </cell>
          <cell r="G93">
            <v>1.329</v>
          </cell>
          <cell r="H93" t="str">
            <v/>
          </cell>
          <cell r="I93" t="str">
            <v/>
          </cell>
          <cell r="J93" t="str">
            <v/>
          </cell>
          <cell r="K93" t="str">
            <v/>
          </cell>
          <cell r="L93" t="str">
            <v/>
          </cell>
          <cell r="M93" t="str">
            <v/>
          </cell>
          <cell r="N93" t="str">
            <v/>
          </cell>
          <cell r="O93" t="str">
            <v/>
          </cell>
          <cell r="P93" t="str">
            <v/>
          </cell>
          <cell r="Q93" t="str">
            <v/>
          </cell>
          <cell r="R93" t="str">
            <v/>
          </cell>
          <cell r="S93" t="str">
            <v/>
          </cell>
          <cell r="T93" t="str">
            <v/>
          </cell>
          <cell r="U93" t="str">
            <v/>
          </cell>
          <cell r="V93" t="str">
            <v/>
          </cell>
          <cell r="W93" t="str">
            <v/>
          </cell>
          <cell r="X93" t="str">
            <v/>
          </cell>
          <cell r="Y93" t="str">
            <v/>
          </cell>
          <cell r="Z93" t="str">
            <v/>
          </cell>
          <cell r="AA93" t="str">
            <v/>
          </cell>
          <cell r="AB93" t="str">
            <v/>
          </cell>
          <cell r="AC93" t="str">
            <v/>
          </cell>
          <cell r="AD93" t="str">
            <v/>
          </cell>
          <cell r="AE93" t="str">
            <v/>
          </cell>
          <cell r="AF93" t="str">
            <v/>
          </cell>
          <cell r="AG93" t="str">
            <v/>
          </cell>
          <cell r="AH93" t="str">
            <v/>
          </cell>
          <cell r="AI93" t="str">
            <v/>
          </cell>
          <cell r="AJ93" t="str">
            <v/>
          </cell>
          <cell r="AK93">
            <v>1.35</v>
          </cell>
          <cell r="AL93" t="str">
            <v/>
          </cell>
          <cell r="AM93" t="str">
            <v/>
          </cell>
          <cell r="AN93" t="str">
            <v/>
          </cell>
          <cell r="AO93" t="str">
            <v/>
          </cell>
          <cell r="AP93" t="str">
            <v/>
          </cell>
          <cell r="AQ93" t="str">
            <v/>
          </cell>
          <cell r="AR93" t="str">
            <v/>
          </cell>
          <cell r="AS93" t="str">
            <v/>
          </cell>
          <cell r="AT93" t="str">
            <v/>
          </cell>
          <cell r="AU93" t="str">
            <v/>
          </cell>
          <cell r="AV93" t="str">
            <v/>
          </cell>
          <cell r="AW93" t="str">
            <v/>
          </cell>
          <cell r="AX93" t="str">
            <v/>
          </cell>
          <cell r="AY93" t="str">
            <v/>
          </cell>
          <cell r="AZ93" t="str">
            <v/>
          </cell>
          <cell r="BA93" t="str">
            <v/>
          </cell>
        </row>
        <row r="94">
          <cell r="B94">
            <v>28</v>
          </cell>
          <cell r="C94" t="str">
            <v/>
          </cell>
          <cell r="D94" t="str">
            <v/>
          </cell>
          <cell r="E94" t="str">
            <v/>
          </cell>
          <cell r="F94" t="str">
            <v/>
          </cell>
          <cell r="G94">
            <v>0.83499999999999996</v>
          </cell>
          <cell r="H94" t="str">
            <v/>
          </cell>
          <cell r="I94" t="str">
            <v/>
          </cell>
          <cell r="J94" t="str">
            <v/>
          </cell>
          <cell r="K94" t="str">
            <v/>
          </cell>
          <cell r="L94" t="str">
            <v/>
          </cell>
          <cell r="M94" t="str">
            <v/>
          </cell>
          <cell r="N94" t="str">
            <v/>
          </cell>
          <cell r="O94" t="str">
            <v/>
          </cell>
          <cell r="P94" t="str">
            <v/>
          </cell>
          <cell r="Q94" t="str">
            <v/>
          </cell>
          <cell r="R94" t="str">
            <v/>
          </cell>
          <cell r="S94" t="str">
            <v/>
          </cell>
          <cell r="T94" t="str">
            <v/>
          </cell>
          <cell r="U94" t="str">
            <v/>
          </cell>
          <cell r="V94" t="str">
            <v/>
          </cell>
          <cell r="W94" t="str">
            <v/>
          </cell>
          <cell r="X94" t="str">
            <v/>
          </cell>
          <cell r="Y94" t="str">
            <v/>
          </cell>
          <cell r="Z94" t="str">
            <v/>
          </cell>
          <cell r="AA94" t="str">
            <v/>
          </cell>
          <cell r="AB94" t="str">
            <v/>
          </cell>
          <cell r="AC94" t="str">
            <v/>
          </cell>
          <cell r="AD94" t="str">
            <v/>
          </cell>
          <cell r="AE94" t="str">
            <v/>
          </cell>
          <cell r="AF94" t="str">
            <v/>
          </cell>
          <cell r="AG94" t="str">
            <v/>
          </cell>
          <cell r="AH94" t="str">
            <v/>
          </cell>
          <cell r="AI94" t="str">
            <v/>
          </cell>
          <cell r="AJ94" t="str">
            <v/>
          </cell>
          <cell r="AK94">
            <v>1.4850000000000001</v>
          </cell>
          <cell r="AL94" t="str">
            <v/>
          </cell>
          <cell r="AM94" t="str">
            <v/>
          </cell>
          <cell r="AN94" t="str">
            <v/>
          </cell>
          <cell r="AO94" t="str">
            <v/>
          </cell>
          <cell r="AP94" t="str">
            <v/>
          </cell>
          <cell r="AQ94" t="str">
            <v/>
          </cell>
          <cell r="AR94" t="str">
            <v/>
          </cell>
          <cell r="AS94" t="str">
            <v/>
          </cell>
          <cell r="AT94" t="str">
            <v/>
          </cell>
          <cell r="AU94" t="str">
            <v/>
          </cell>
          <cell r="AV94" t="str">
            <v/>
          </cell>
          <cell r="AW94" t="str">
            <v/>
          </cell>
          <cell r="AX94" t="str">
            <v/>
          </cell>
          <cell r="AY94" t="str">
            <v/>
          </cell>
          <cell r="AZ94" t="str">
            <v/>
          </cell>
          <cell r="BA94" t="str">
            <v/>
          </cell>
        </row>
        <row r="95">
          <cell r="B95">
            <v>29</v>
          </cell>
          <cell r="C95" t="str">
            <v/>
          </cell>
          <cell r="D95" t="str">
            <v/>
          </cell>
          <cell r="E95" t="str">
            <v/>
          </cell>
          <cell r="F95" t="str">
            <v/>
          </cell>
          <cell r="G95">
            <v>1.109</v>
          </cell>
          <cell r="H95" t="str">
            <v/>
          </cell>
          <cell r="I95" t="str">
            <v/>
          </cell>
          <cell r="J95" t="str">
            <v/>
          </cell>
          <cell r="K95" t="str">
            <v/>
          </cell>
          <cell r="L95" t="str">
            <v/>
          </cell>
          <cell r="M95" t="str">
            <v/>
          </cell>
          <cell r="N95" t="str">
            <v/>
          </cell>
          <cell r="O95" t="str">
            <v/>
          </cell>
          <cell r="P95" t="str">
            <v/>
          </cell>
          <cell r="Q95" t="str">
            <v/>
          </cell>
          <cell r="R95" t="str">
            <v/>
          </cell>
          <cell r="S95" t="str">
            <v/>
          </cell>
          <cell r="T95" t="str">
            <v/>
          </cell>
          <cell r="U95" t="str">
            <v/>
          </cell>
          <cell r="V95" t="str">
            <v/>
          </cell>
          <cell r="W95" t="str">
            <v/>
          </cell>
          <cell r="X95" t="str">
            <v/>
          </cell>
          <cell r="Y95" t="str">
            <v/>
          </cell>
          <cell r="Z95" t="str">
            <v/>
          </cell>
          <cell r="AA95" t="str">
            <v/>
          </cell>
          <cell r="AB95" t="str">
            <v/>
          </cell>
          <cell r="AC95" t="str">
            <v/>
          </cell>
          <cell r="AD95" t="str">
            <v/>
          </cell>
          <cell r="AE95" t="str">
            <v/>
          </cell>
          <cell r="AF95" t="str">
            <v/>
          </cell>
          <cell r="AG95" t="str">
            <v/>
          </cell>
          <cell r="AH95" t="str">
            <v/>
          </cell>
          <cell r="AI95" t="str">
            <v/>
          </cell>
          <cell r="AJ95" t="str">
            <v/>
          </cell>
          <cell r="AK95">
            <v>1.4850000000000001</v>
          </cell>
          <cell r="AL95" t="str">
            <v/>
          </cell>
          <cell r="AM95" t="str">
            <v/>
          </cell>
          <cell r="AN95" t="str">
            <v/>
          </cell>
          <cell r="AO95" t="str">
            <v/>
          </cell>
          <cell r="AP95" t="str">
            <v/>
          </cell>
          <cell r="AQ95" t="str">
            <v/>
          </cell>
          <cell r="AR95" t="str">
            <v/>
          </cell>
          <cell r="AS95" t="str">
            <v/>
          </cell>
          <cell r="AT95" t="str">
            <v/>
          </cell>
          <cell r="AU95" t="str">
            <v/>
          </cell>
          <cell r="AV95" t="str">
            <v/>
          </cell>
          <cell r="AW95" t="str">
            <v/>
          </cell>
          <cell r="AX95" t="str">
            <v/>
          </cell>
          <cell r="AY95" t="str">
            <v/>
          </cell>
          <cell r="AZ95" t="str">
            <v/>
          </cell>
          <cell r="BA95" t="str">
            <v/>
          </cell>
        </row>
        <row r="96">
          <cell r="B96">
            <v>30</v>
          </cell>
          <cell r="C96" t="str">
            <v/>
          </cell>
          <cell r="D96" t="str">
            <v/>
          </cell>
          <cell r="E96" t="str">
            <v/>
          </cell>
          <cell r="F96" t="str">
            <v/>
          </cell>
          <cell r="G96">
            <v>0.88800000000000001</v>
          </cell>
          <cell r="H96" t="str">
            <v/>
          </cell>
          <cell r="I96" t="str">
            <v/>
          </cell>
          <cell r="J96" t="str">
            <v/>
          </cell>
          <cell r="K96" t="str">
            <v/>
          </cell>
          <cell r="L96" t="str">
            <v/>
          </cell>
          <cell r="M96" t="str">
            <v/>
          </cell>
          <cell r="N96" t="str">
            <v/>
          </cell>
          <cell r="O96" t="str">
            <v/>
          </cell>
          <cell r="P96" t="str">
            <v/>
          </cell>
          <cell r="Q96" t="str">
            <v/>
          </cell>
          <cell r="R96" t="str">
            <v/>
          </cell>
          <cell r="S96" t="str">
            <v/>
          </cell>
          <cell r="T96" t="str">
            <v/>
          </cell>
          <cell r="U96" t="str">
            <v/>
          </cell>
          <cell r="V96" t="str">
            <v/>
          </cell>
          <cell r="W96" t="str">
            <v/>
          </cell>
          <cell r="X96" t="str">
            <v/>
          </cell>
          <cell r="Y96" t="str">
            <v/>
          </cell>
          <cell r="Z96" t="str">
            <v/>
          </cell>
          <cell r="AA96" t="str">
            <v/>
          </cell>
          <cell r="AB96" t="str">
            <v/>
          </cell>
          <cell r="AC96" t="str">
            <v/>
          </cell>
          <cell r="AD96" t="str">
            <v/>
          </cell>
          <cell r="AE96" t="str">
            <v/>
          </cell>
          <cell r="AF96" t="str">
            <v/>
          </cell>
          <cell r="AG96" t="str">
            <v/>
          </cell>
          <cell r="AH96" t="str">
            <v/>
          </cell>
          <cell r="AI96" t="str">
            <v/>
          </cell>
          <cell r="AJ96" t="str">
            <v/>
          </cell>
          <cell r="AK96">
            <v>1.4850000000000001</v>
          </cell>
          <cell r="AL96" t="str">
            <v/>
          </cell>
          <cell r="AM96" t="str">
            <v/>
          </cell>
          <cell r="AN96" t="str">
            <v/>
          </cell>
          <cell r="AO96" t="str">
            <v/>
          </cell>
          <cell r="AP96" t="str">
            <v/>
          </cell>
          <cell r="AQ96" t="str">
            <v/>
          </cell>
          <cell r="AR96" t="str">
            <v/>
          </cell>
          <cell r="AS96" t="str">
            <v/>
          </cell>
          <cell r="AT96" t="str">
            <v/>
          </cell>
          <cell r="AU96" t="str">
            <v/>
          </cell>
          <cell r="AV96" t="str">
            <v/>
          </cell>
          <cell r="AW96" t="str">
            <v/>
          </cell>
          <cell r="AX96" t="str">
            <v/>
          </cell>
          <cell r="AY96" t="str">
            <v/>
          </cell>
          <cell r="AZ96" t="str">
            <v/>
          </cell>
          <cell r="BA96" t="str">
            <v/>
          </cell>
        </row>
        <row r="97">
          <cell r="B97">
            <v>31</v>
          </cell>
          <cell r="C97" t="str">
            <v/>
          </cell>
          <cell r="D97" t="str">
            <v/>
          </cell>
          <cell r="E97" t="str">
            <v/>
          </cell>
          <cell r="F97" t="str">
            <v/>
          </cell>
          <cell r="G97">
            <v>1.002</v>
          </cell>
          <cell r="H97" t="str">
            <v/>
          </cell>
          <cell r="I97" t="str">
            <v/>
          </cell>
          <cell r="J97" t="str">
            <v/>
          </cell>
          <cell r="K97" t="str">
            <v/>
          </cell>
          <cell r="L97" t="str">
            <v/>
          </cell>
          <cell r="M97" t="str">
            <v/>
          </cell>
          <cell r="N97" t="str">
            <v/>
          </cell>
          <cell r="O97" t="str">
            <v/>
          </cell>
          <cell r="P97" t="str">
            <v/>
          </cell>
          <cell r="Q97" t="str">
            <v/>
          </cell>
          <cell r="R97" t="str">
            <v/>
          </cell>
          <cell r="S97" t="str">
            <v/>
          </cell>
          <cell r="T97" t="str">
            <v/>
          </cell>
          <cell r="U97" t="str">
            <v/>
          </cell>
          <cell r="V97" t="str">
            <v/>
          </cell>
          <cell r="W97" t="str">
            <v/>
          </cell>
          <cell r="X97" t="str">
            <v/>
          </cell>
          <cell r="Y97" t="str">
            <v/>
          </cell>
          <cell r="Z97" t="str">
            <v/>
          </cell>
          <cell r="AA97" t="str">
            <v/>
          </cell>
          <cell r="AB97" t="str">
            <v/>
          </cell>
          <cell r="AC97" t="str">
            <v/>
          </cell>
          <cell r="AD97" t="str">
            <v/>
          </cell>
          <cell r="AE97" t="str">
            <v/>
          </cell>
          <cell r="AF97" t="str">
            <v/>
          </cell>
          <cell r="AG97" t="str">
            <v/>
          </cell>
          <cell r="AH97" t="str">
            <v/>
          </cell>
          <cell r="AI97" t="str">
            <v/>
          </cell>
          <cell r="AJ97" t="str">
            <v/>
          </cell>
          <cell r="AK97">
            <v>1.35</v>
          </cell>
          <cell r="AL97" t="str">
            <v/>
          </cell>
          <cell r="AM97" t="str">
            <v/>
          </cell>
          <cell r="AN97" t="str">
            <v/>
          </cell>
          <cell r="AO97" t="str">
            <v/>
          </cell>
          <cell r="AP97" t="str">
            <v/>
          </cell>
          <cell r="AQ97" t="str">
            <v/>
          </cell>
          <cell r="AR97" t="str">
            <v/>
          </cell>
          <cell r="AS97" t="str">
            <v/>
          </cell>
          <cell r="AT97" t="str">
            <v/>
          </cell>
          <cell r="AU97" t="str">
            <v/>
          </cell>
          <cell r="AV97" t="str">
            <v/>
          </cell>
          <cell r="AW97" t="str">
            <v/>
          </cell>
          <cell r="AX97" t="str">
            <v/>
          </cell>
          <cell r="AY97" t="str">
            <v/>
          </cell>
          <cell r="AZ97" t="str">
            <v/>
          </cell>
          <cell r="BA97" t="str">
            <v/>
          </cell>
        </row>
        <row r="98">
          <cell r="B98">
            <v>32</v>
          </cell>
          <cell r="C98" t="str">
            <v/>
          </cell>
          <cell r="D98" t="str">
            <v/>
          </cell>
          <cell r="E98" t="str">
            <v/>
          </cell>
          <cell r="F98" t="str">
            <v/>
          </cell>
          <cell r="G98" t="str">
            <v/>
          </cell>
          <cell r="H98" t="str">
            <v/>
          </cell>
          <cell r="I98" t="str">
            <v/>
          </cell>
          <cell r="J98" t="str">
            <v/>
          </cell>
          <cell r="K98" t="str">
            <v/>
          </cell>
          <cell r="L98" t="str">
            <v/>
          </cell>
          <cell r="M98" t="str">
            <v/>
          </cell>
          <cell r="N98" t="str">
            <v/>
          </cell>
          <cell r="O98" t="str">
            <v/>
          </cell>
          <cell r="P98" t="str">
            <v/>
          </cell>
          <cell r="Q98" t="str">
            <v/>
          </cell>
          <cell r="R98" t="str">
            <v/>
          </cell>
          <cell r="S98" t="str">
            <v/>
          </cell>
          <cell r="T98" t="str">
            <v/>
          </cell>
          <cell r="U98" t="str">
            <v/>
          </cell>
          <cell r="V98" t="str">
            <v/>
          </cell>
          <cell r="W98" t="str">
            <v/>
          </cell>
          <cell r="X98" t="str">
            <v/>
          </cell>
          <cell r="Y98" t="str">
            <v/>
          </cell>
          <cell r="Z98" t="str">
            <v/>
          </cell>
          <cell r="AA98" t="str">
            <v/>
          </cell>
          <cell r="AB98" t="str">
            <v/>
          </cell>
          <cell r="AC98" t="str">
            <v/>
          </cell>
          <cell r="AD98" t="str">
            <v/>
          </cell>
          <cell r="AE98" t="str">
            <v/>
          </cell>
          <cell r="AF98" t="str">
            <v/>
          </cell>
          <cell r="AG98" t="str">
            <v/>
          </cell>
          <cell r="AH98" t="str">
            <v/>
          </cell>
          <cell r="AI98" t="str">
            <v/>
          </cell>
          <cell r="AJ98" t="str">
            <v/>
          </cell>
          <cell r="AK98">
            <v>1.35</v>
          </cell>
          <cell r="AL98" t="str">
            <v/>
          </cell>
          <cell r="AM98" t="str">
            <v/>
          </cell>
          <cell r="AN98" t="str">
            <v/>
          </cell>
          <cell r="AO98" t="str">
            <v/>
          </cell>
          <cell r="AP98" t="str">
            <v/>
          </cell>
          <cell r="AQ98" t="str">
            <v/>
          </cell>
          <cell r="AR98" t="str">
            <v/>
          </cell>
          <cell r="AS98" t="str">
            <v/>
          </cell>
          <cell r="AT98" t="str">
            <v/>
          </cell>
          <cell r="AU98" t="str">
            <v/>
          </cell>
          <cell r="AV98" t="str">
            <v/>
          </cell>
          <cell r="AW98" t="str">
            <v/>
          </cell>
          <cell r="AX98" t="str">
            <v/>
          </cell>
          <cell r="AY98" t="str">
            <v/>
          </cell>
          <cell r="AZ98" t="str">
            <v/>
          </cell>
          <cell r="BA98" t="str">
            <v/>
          </cell>
        </row>
        <row r="99">
          <cell r="B99">
            <v>33</v>
          </cell>
          <cell r="C99" t="str">
            <v/>
          </cell>
          <cell r="D99" t="str">
            <v/>
          </cell>
          <cell r="E99" t="str">
            <v/>
          </cell>
          <cell r="F99" t="str">
            <v/>
          </cell>
          <cell r="G99" t="str">
            <v/>
          </cell>
          <cell r="H99" t="str">
            <v/>
          </cell>
          <cell r="I99" t="str">
            <v/>
          </cell>
          <cell r="J99" t="str">
            <v/>
          </cell>
          <cell r="K99" t="str">
            <v/>
          </cell>
          <cell r="L99" t="str">
            <v/>
          </cell>
          <cell r="M99" t="str">
            <v/>
          </cell>
          <cell r="N99" t="str">
            <v/>
          </cell>
          <cell r="O99" t="str">
            <v/>
          </cell>
          <cell r="P99" t="str">
            <v/>
          </cell>
          <cell r="Q99" t="str">
            <v/>
          </cell>
          <cell r="R99" t="str">
            <v/>
          </cell>
          <cell r="S99" t="str">
            <v/>
          </cell>
          <cell r="T99" t="str">
            <v/>
          </cell>
          <cell r="U99" t="str">
            <v/>
          </cell>
          <cell r="V99" t="str">
            <v/>
          </cell>
          <cell r="W99" t="str">
            <v/>
          </cell>
          <cell r="X99" t="str">
            <v/>
          </cell>
          <cell r="Y99" t="str">
            <v/>
          </cell>
          <cell r="Z99" t="str">
            <v/>
          </cell>
          <cell r="AA99" t="str">
            <v/>
          </cell>
          <cell r="AB99" t="str">
            <v/>
          </cell>
          <cell r="AC99" t="str">
            <v/>
          </cell>
          <cell r="AD99" t="str">
            <v/>
          </cell>
          <cell r="AE99" t="str">
            <v/>
          </cell>
          <cell r="AF99" t="str">
            <v/>
          </cell>
          <cell r="AG99" t="str">
            <v/>
          </cell>
          <cell r="AH99" t="str">
            <v/>
          </cell>
          <cell r="AI99" t="str">
            <v/>
          </cell>
          <cell r="AJ99" t="str">
            <v/>
          </cell>
          <cell r="AK99">
            <v>1.35</v>
          </cell>
          <cell r="AL99" t="str">
            <v/>
          </cell>
          <cell r="AM99" t="str">
            <v/>
          </cell>
          <cell r="AN99" t="str">
            <v/>
          </cell>
          <cell r="AO99" t="str">
            <v/>
          </cell>
          <cell r="AP99" t="str">
            <v/>
          </cell>
          <cell r="AQ99" t="str">
            <v/>
          </cell>
          <cell r="AR99" t="str">
            <v/>
          </cell>
          <cell r="AS99" t="str">
            <v/>
          </cell>
          <cell r="AT99" t="str">
            <v/>
          </cell>
          <cell r="AU99" t="str">
            <v/>
          </cell>
          <cell r="AV99" t="str">
            <v/>
          </cell>
          <cell r="AW99" t="str">
            <v/>
          </cell>
          <cell r="AX99" t="str">
            <v/>
          </cell>
          <cell r="AY99" t="str">
            <v/>
          </cell>
          <cell r="AZ99" t="str">
            <v/>
          </cell>
          <cell r="BA99" t="str">
            <v/>
          </cell>
        </row>
        <row r="100">
          <cell r="B100">
            <v>34</v>
          </cell>
          <cell r="C100" t="str">
            <v/>
          </cell>
          <cell r="D100" t="str">
            <v/>
          </cell>
          <cell r="E100" t="str">
            <v/>
          </cell>
          <cell r="F100" t="str">
            <v/>
          </cell>
          <cell r="G100" t="str">
            <v/>
          </cell>
          <cell r="H100" t="str">
            <v/>
          </cell>
          <cell r="I100" t="str">
            <v/>
          </cell>
          <cell r="J100" t="str">
            <v/>
          </cell>
          <cell r="K100" t="str">
            <v/>
          </cell>
          <cell r="L100" t="str">
            <v/>
          </cell>
          <cell r="M100" t="str">
            <v/>
          </cell>
          <cell r="N100" t="str">
            <v/>
          </cell>
          <cell r="O100" t="str">
            <v/>
          </cell>
          <cell r="P100" t="str">
            <v/>
          </cell>
          <cell r="Q100" t="str">
            <v/>
          </cell>
          <cell r="R100" t="str">
            <v/>
          </cell>
          <cell r="S100" t="str">
            <v/>
          </cell>
          <cell r="T100" t="str">
            <v/>
          </cell>
          <cell r="U100" t="str">
            <v/>
          </cell>
          <cell r="V100" t="str">
            <v/>
          </cell>
          <cell r="W100" t="str">
            <v/>
          </cell>
          <cell r="X100" t="str">
            <v/>
          </cell>
          <cell r="Y100" t="str">
            <v/>
          </cell>
          <cell r="Z100" t="str">
            <v/>
          </cell>
          <cell r="AA100" t="str">
            <v/>
          </cell>
          <cell r="AB100" t="str">
            <v/>
          </cell>
          <cell r="AC100" t="str">
            <v/>
          </cell>
          <cell r="AD100" t="str">
            <v/>
          </cell>
          <cell r="AE100" t="str">
            <v/>
          </cell>
          <cell r="AF100" t="str">
            <v/>
          </cell>
          <cell r="AG100" t="str">
            <v/>
          </cell>
          <cell r="AH100" t="str">
            <v/>
          </cell>
          <cell r="AI100" t="str">
            <v/>
          </cell>
          <cell r="AJ100" t="str">
            <v/>
          </cell>
          <cell r="AK100">
            <v>1.35</v>
          </cell>
          <cell r="AL100" t="str">
            <v/>
          </cell>
          <cell r="AM100" t="str">
            <v/>
          </cell>
          <cell r="AN100" t="str">
            <v/>
          </cell>
          <cell r="AO100" t="str">
            <v/>
          </cell>
          <cell r="AP100" t="str">
            <v/>
          </cell>
          <cell r="AQ100" t="str">
            <v/>
          </cell>
          <cell r="AR100" t="str">
            <v/>
          </cell>
          <cell r="AS100" t="str">
            <v/>
          </cell>
          <cell r="AT100" t="str">
            <v/>
          </cell>
          <cell r="AU100" t="str">
            <v/>
          </cell>
          <cell r="AV100" t="str">
            <v/>
          </cell>
          <cell r="AW100" t="str">
            <v/>
          </cell>
          <cell r="AX100" t="str">
            <v/>
          </cell>
          <cell r="AY100" t="str">
            <v/>
          </cell>
          <cell r="AZ100" t="str">
            <v/>
          </cell>
          <cell r="BA100" t="str">
            <v/>
          </cell>
        </row>
        <row r="101">
          <cell r="B101">
            <v>35</v>
          </cell>
          <cell r="C101" t="str">
            <v/>
          </cell>
          <cell r="D101" t="str">
            <v/>
          </cell>
          <cell r="E101" t="str">
            <v/>
          </cell>
          <cell r="F101" t="str">
            <v/>
          </cell>
          <cell r="G101" t="str">
            <v/>
          </cell>
          <cell r="H101" t="str">
            <v/>
          </cell>
          <cell r="I101" t="str">
            <v/>
          </cell>
          <cell r="J101" t="str">
            <v/>
          </cell>
          <cell r="K101" t="str">
            <v/>
          </cell>
          <cell r="L101" t="str">
            <v/>
          </cell>
          <cell r="M101" t="str">
            <v/>
          </cell>
          <cell r="N101" t="str">
            <v/>
          </cell>
          <cell r="O101" t="str">
            <v/>
          </cell>
          <cell r="P101" t="str">
            <v/>
          </cell>
          <cell r="Q101" t="str">
            <v/>
          </cell>
          <cell r="R101" t="str">
            <v/>
          </cell>
          <cell r="S101" t="str">
            <v/>
          </cell>
          <cell r="T101" t="str">
            <v/>
          </cell>
          <cell r="U101" t="str">
            <v/>
          </cell>
          <cell r="V101" t="str">
            <v/>
          </cell>
          <cell r="W101" t="str">
            <v/>
          </cell>
          <cell r="X101" t="str">
            <v/>
          </cell>
          <cell r="Y101" t="str">
            <v/>
          </cell>
          <cell r="Z101" t="str">
            <v/>
          </cell>
          <cell r="AA101" t="str">
            <v/>
          </cell>
          <cell r="AB101" t="str">
            <v/>
          </cell>
          <cell r="AC101" t="str">
            <v/>
          </cell>
          <cell r="AD101" t="str">
            <v/>
          </cell>
          <cell r="AE101" t="str">
            <v/>
          </cell>
          <cell r="AF101" t="str">
            <v/>
          </cell>
          <cell r="AG101" t="str">
            <v/>
          </cell>
          <cell r="AH101" t="str">
            <v/>
          </cell>
          <cell r="AI101" t="str">
            <v/>
          </cell>
          <cell r="AJ101" t="str">
            <v/>
          </cell>
          <cell r="AK101">
            <v>1.35</v>
          </cell>
          <cell r="AL101" t="str">
            <v/>
          </cell>
          <cell r="AM101" t="str">
            <v/>
          </cell>
          <cell r="AN101" t="str">
            <v/>
          </cell>
          <cell r="AO101" t="str">
            <v/>
          </cell>
          <cell r="AP101" t="str">
            <v/>
          </cell>
          <cell r="AQ101" t="str">
            <v/>
          </cell>
          <cell r="AR101" t="str">
            <v/>
          </cell>
          <cell r="AS101" t="str">
            <v/>
          </cell>
          <cell r="AT101" t="str">
            <v/>
          </cell>
          <cell r="AU101" t="str">
            <v/>
          </cell>
          <cell r="AV101" t="str">
            <v/>
          </cell>
          <cell r="AW101" t="str">
            <v/>
          </cell>
          <cell r="AX101" t="str">
            <v/>
          </cell>
          <cell r="AY101" t="str">
            <v/>
          </cell>
          <cell r="AZ101" t="str">
            <v/>
          </cell>
          <cell r="BA101" t="str">
            <v/>
          </cell>
        </row>
        <row r="102">
          <cell r="B102">
            <v>36</v>
          </cell>
          <cell r="C102" t="str">
            <v/>
          </cell>
          <cell r="D102" t="str">
            <v/>
          </cell>
          <cell r="E102" t="str">
            <v/>
          </cell>
          <cell r="F102" t="str">
            <v/>
          </cell>
          <cell r="G102" t="str">
            <v/>
          </cell>
          <cell r="H102" t="str">
            <v/>
          </cell>
          <cell r="I102" t="str">
            <v/>
          </cell>
          <cell r="J102" t="str">
            <v/>
          </cell>
          <cell r="K102" t="str">
            <v/>
          </cell>
          <cell r="L102" t="str">
            <v/>
          </cell>
          <cell r="M102" t="str">
            <v/>
          </cell>
          <cell r="N102" t="str">
            <v/>
          </cell>
          <cell r="O102" t="str">
            <v/>
          </cell>
          <cell r="P102" t="str">
            <v/>
          </cell>
          <cell r="Q102" t="str">
            <v/>
          </cell>
          <cell r="R102" t="str">
            <v/>
          </cell>
          <cell r="S102" t="str">
            <v/>
          </cell>
          <cell r="T102" t="str">
            <v/>
          </cell>
          <cell r="U102" t="str">
            <v/>
          </cell>
          <cell r="V102" t="str">
            <v/>
          </cell>
          <cell r="W102" t="str">
            <v/>
          </cell>
          <cell r="X102" t="str">
            <v/>
          </cell>
          <cell r="Y102" t="str">
            <v/>
          </cell>
          <cell r="Z102" t="str">
            <v/>
          </cell>
          <cell r="AA102" t="str">
            <v/>
          </cell>
          <cell r="AB102" t="str">
            <v/>
          </cell>
          <cell r="AC102" t="str">
            <v/>
          </cell>
          <cell r="AD102" t="str">
            <v/>
          </cell>
          <cell r="AE102" t="str">
            <v/>
          </cell>
          <cell r="AF102" t="str">
            <v/>
          </cell>
          <cell r="AG102" t="str">
            <v/>
          </cell>
          <cell r="AH102" t="str">
            <v/>
          </cell>
          <cell r="AI102" t="str">
            <v/>
          </cell>
          <cell r="AJ102" t="str">
            <v/>
          </cell>
          <cell r="AK102">
            <v>1.35</v>
          </cell>
          <cell r="AL102" t="str">
            <v/>
          </cell>
          <cell r="AM102" t="str">
            <v/>
          </cell>
          <cell r="AN102" t="str">
            <v/>
          </cell>
          <cell r="AO102" t="str">
            <v/>
          </cell>
          <cell r="AP102" t="str">
            <v/>
          </cell>
          <cell r="AQ102" t="str">
            <v/>
          </cell>
          <cell r="AR102" t="str">
            <v/>
          </cell>
          <cell r="AS102" t="str">
            <v/>
          </cell>
          <cell r="AT102" t="str">
            <v/>
          </cell>
          <cell r="AU102" t="str">
            <v/>
          </cell>
          <cell r="AV102" t="str">
            <v/>
          </cell>
          <cell r="AW102" t="str">
            <v/>
          </cell>
          <cell r="AX102" t="str">
            <v/>
          </cell>
          <cell r="AY102" t="str">
            <v/>
          </cell>
          <cell r="AZ102" t="str">
            <v/>
          </cell>
          <cell r="BA102" t="str">
            <v/>
          </cell>
        </row>
        <row r="103">
          <cell r="B103">
            <v>37</v>
          </cell>
          <cell r="C103" t="str">
            <v/>
          </cell>
          <cell r="D103" t="str">
            <v/>
          </cell>
          <cell r="E103" t="str">
            <v/>
          </cell>
          <cell r="F103" t="str">
            <v/>
          </cell>
          <cell r="G103" t="str">
            <v/>
          </cell>
          <cell r="H103" t="str">
            <v/>
          </cell>
          <cell r="I103" t="str">
            <v/>
          </cell>
          <cell r="J103" t="str">
            <v/>
          </cell>
          <cell r="K103" t="str">
            <v/>
          </cell>
          <cell r="L103" t="str">
            <v/>
          </cell>
          <cell r="M103" t="str">
            <v/>
          </cell>
          <cell r="N103" t="str">
            <v/>
          </cell>
          <cell r="O103" t="str">
            <v/>
          </cell>
          <cell r="P103" t="str">
            <v/>
          </cell>
          <cell r="Q103" t="str">
            <v/>
          </cell>
          <cell r="R103" t="str">
            <v/>
          </cell>
          <cell r="S103" t="str">
            <v/>
          </cell>
          <cell r="T103" t="str">
            <v/>
          </cell>
          <cell r="U103" t="str">
            <v/>
          </cell>
          <cell r="V103" t="str">
            <v/>
          </cell>
          <cell r="W103" t="str">
            <v/>
          </cell>
          <cell r="X103" t="str">
            <v/>
          </cell>
          <cell r="Y103" t="str">
            <v/>
          </cell>
          <cell r="Z103" t="str">
            <v/>
          </cell>
          <cell r="AA103" t="str">
            <v/>
          </cell>
          <cell r="AB103" t="str">
            <v/>
          </cell>
          <cell r="AC103" t="str">
            <v/>
          </cell>
          <cell r="AD103" t="str">
            <v/>
          </cell>
          <cell r="AE103" t="str">
            <v/>
          </cell>
          <cell r="AF103" t="str">
            <v/>
          </cell>
          <cell r="AG103" t="str">
            <v/>
          </cell>
          <cell r="AH103" t="str">
            <v/>
          </cell>
          <cell r="AI103" t="str">
            <v/>
          </cell>
          <cell r="AJ103" t="str">
            <v/>
          </cell>
          <cell r="AK103">
            <v>1.357</v>
          </cell>
          <cell r="AL103" t="str">
            <v/>
          </cell>
          <cell r="AM103" t="str">
            <v/>
          </cell>
          <cell r="AN103" t="str">
            <v/>
          </cell>
          <cell r="AO103" t="str">
            <v/>
          </cell>
          <cell r="AP103" t="str">
            <v/>
          </cell>
          <cell r="AQ103" t="str">
            <v/>
          </cell>
          <cell r="AR103" t="str">
            <v/>
          </cell>
          <cell r="AS103" t="str">
            <v/>
          </cell>
          <cell r="AT103" t="str">
            <v/>
          </cell>
          <cell r="AU103" t="str">
            <v/>
          </cell>
          <cell r="AV103" t="str">
            <v/>
          </cell>
          <cell r="AW103" t="str">
            <v/>
          </cell>
          <cell r="AX103" t="str">
            <v/>
          </cell>
          <cell r="AY103" t="str">
            <v/>
          </cell>
          <cell r="AZ103" t="str">
            <v/>
          </cell>
          <cell r="BA103" t="str">
            <v/>
          </cell>
        </row>
        <row r="104">
          <cell r="B104">
            <v>38</v>
          </cell>
          <cell r="C104" t="str">
            <v/>
          </cell>
          <cell r="D104" t="str">
            <v/>
          </cell>
          <cell r="E104" t="str">
            <v/>
          </cell>
          <cell r="F104" t="str">
            <v/>
          </cell>
          <cell r="G104" t="str">
            <v/>
          </cell>
          <cell r="H104" t="str">
            <v/>
          </cell>
          <cell r="I104" t="str">
            <v/>
          </cell>
          <cell r="J104" t="str">
            <v/>
          </cell>
          <cell r="K104" t="str">
            <v/>
          </cell>
          <cell r="L104" t="str">
            <v/>
          </cell>
          <cell r="M104" t="str">
            <v/>
          </cell>
          <cell r="N104" t="str">
            <v/>
          </cell>
          <cell r="O104" t="str">
            <v/>
          </cell>
          <cell r="P104" t="str">
            <v/>
          </cell>
          <cell r="Q104" t="str">
            <v/>
          </cell>
          <cell r="R104" t="str">
            <v/>
          </cell>
          <cell r="S104" t="str">
            <v/>
          </cell>
          <cell r="T104" t="str">
            <v/>
          </cell>
          <cell r="U104" t="str">
            <v/>
          </cell>
          <cell r="V104" t="str">
            <v/>
          </cell>
          <cell r="W104" t="str">
            <v/>
          </cell>
          <cell r="X104" t="str">
            <v/>
          </cell>
          <cell r="Y104" t="str">
            <v/>
          </cell>
          <cell r="Z104" t="str">
            <v/>
          </cell>
          <cell r="AA104" t="str">
            <v/>
          </cell>
          <cell r="AB104" t="str">
            <v/>
          </cell>
          <cell r="AC104" t="str">
            <v/>
          </cell>
          <cell r="AD104" t="str">
            <v/>
          </cell>
          <cell r="AE104" t="str">
            <v/>
          </cell>
          <cell r="AF104" t="str">
            <v/>
          </cell>
          <cell r="AG104" t="str">
            <v/>
          </cell>
          <cell r="AH104" t="str">
            <v/>
          </cell>
          <cell r="AI104" t="str">
            <v/>
          </cell>
          <cell r="AJ104" t="str">
            <v/>
          </cell>
          <cell r="AK104">
            <v>1.357</v>
          </cell>
          <cell r="AL104" t="str">
            <v/>
          </cell>
          <cell r="AM104" t="str">
            <v/>
          </cell>
          <cell r="AN104" t="str">
            <v/>
          </cell>
          <cell r="AO104" t="str">
            <v/>
          </cell>
          <cell r="AP104" t="str">
            <v/>
          </cell>
          <cell r="AQ104" t="str">
            <v/>
          </cell>
          <cell r="AR104" t="str">
            <v/>
          </cell>
          <cell r="AS104" t="str">
            <v/>
          </cell>
          <cell r="AT104" t="str">
            <v/>
          </cell>
          <cell r="AU104" t="str">
            <v/>
          </cell>
          <cell r="AV104" t="str">
            <v/>
          </cell>
          <cell r="AW104" t="str">
            <v/>
          </cell>
          <cell r="AX104" t="str">
            <v/>
          </cell>
          <cell r="AY104" t="str">
            <v/>
          </cell>
          <cell r="AZ104" t="str">
            <v/>
          </cell>
          <cell r="BA104" t="str">
            <v/>
          </cell>
        </row>
        <row r="105">
          <cell r="B105">
            <v>39</v>
          </cell>
          <cell r="C105" t="str">
            <v/>
          </cell>
          <cell r="D105" t="str">
            <v/>
          </cell>
          <cell r="E105" t="str">
            <v/>
          </cell>
          <cell r="F105" t="str">
            <v/>
          </cell>
          <cell r="G105" t="str">
            <v/>
          </cell>
          <cell r="H105" t="str">
            <v/>
          </cell>
          <cell r="I105" t="str">
            <v/>
          </cell>
          <cell r="J105" t="str">
            <v/>
          </cell>
          <cell r="K105" t="str">
            <v/>
          </cell>
          <cell r="L105" t="str">
            <v/>
          </cell>
          <cell r="M105" t="str">
            <v/>
          </cell>
          <cell r="N105" t="str">
            <v/>
          </cell>
          <cell r="O105" t="str">
            <v/>
          </cell>
          <cell r="P105" t="str">
            <v/>
          </cell>
          <cell r="Q105" t="str">
            <v/>
          </cell>
          <cell r="R105" t="str">
            <v/>
          </cell>
          <cell r="S105" t="str">
            <v/>
          </cell>
          <cell r="T105" t="str">
            <v/>
          </cell>
          <cell r="U105" t="str">
            <v/>
          </cell>
          <cell r="V105" t="str">
            <v/>
          </cell>
          <cell r="W105" t="str">
            <v/>
          </cell>
          <cell r="X105" t="str">
            <v/>
          </cell>
          <cell r="Y105" t="str">
            <v/>
          </cell>
          <cell r="Z105" t="str">
            <v/>
          </cell>
          <cell r="AA105" t="str">
            <v/>
          </cell>
          <cell r="AB105" t="str">
            <v/>
          </cell>
          <cell r="AC105" t="str">
            <v/>
          </cell>
          <cell r="AD105" t="str">
            <v/>
          </cell>
          <cell r="AE105" t="str">
            <v/>
          </cell>
          <cell r="AF105" t="str">
            <v/>
          </cell>
          <cell r="AG105" t="str">
            <v/>
          </cell>
          <cell r="AH105" t="str">
            <v/>
          </cell>
          <cell r="AI105" t="str">
            <v/>
          </cell>
          <cell r="AJ105" t="str">
            <v/>
          </cell>
          <cell r="AK105">
            <v>1.669</v>
          </cell>
          <cell r="AL105" t="str">
            <v/>
          </cell>
          <cell r="AM105" t="str">
            <v/>
          </cell>
          <cell r="AN105" t="str">
            <v/>
          </cell>
          <cell r="AO105" t="str">
            <v/>
          </cell>
          <cell r="AP105" t="str">
            <v/>
          </cell>
          <cell r="AQ105" t="str">
            <v/>
          </cell>
          <cell r="AR105" t="str">
            <v/>
          </cell>
          <cell r="AS105" t="str">
            <v/>
          </cell>
          <cell r="AT105" t="str">
            <v/>
          </cell>
          <cell r="AU105" t="str">
            <v/>
          </cell>
          <cell r="AV105" t="str">
            <v/>
          </cell>
          <cell r="AW105" t="str">
            <v/>
          </cell>
          <cell r="AX105" t="str">
            <v/>
          </cell>
          <cell r="AY105" t="str">
            <v/>
          </cell>
          <cell r="AZ105" t="str">
            <v/>
          </cell>
          <cell r="BA105" t="str">
            <v/>
          </cell>
        </row>
        <row r="106">
          <cell r="B106">
            <v>40</v>
          </cell>
          <cell r="C106" t="str">
            <v/>
          </cell>
          <cell r="D106" t="str">
            <v/>
          </cell>
          <cell r="E106" t="str">
            <v/>
          </cell>
          <cell r="F106" t="str">
            <v/>
          </cell>
          <cell r="G106" t="str">
            <v/>
          </cell>
          <cell r="H106" t="str">
            <v/>
          </cell>
          <cell r="I106" t="str">
            <v/>
          </cell>
          <cell r="J106" t="str">
            <v/>
          </cell>
          <cell r="K106" t="str">
            <v/>
          </cell>
          <cell r="L106" t="str">
            <v/>
          </cell>
          <cell r="M106" t="str">
            <v/>
          </cell>
          <cell r="N106" t="str">
            <v/>
          </cell>
          <cell r="O106" t="str">
            <v/>
          </cell>
          <cell r="P106" t="str">
            <v/>
          </cell>
          <cell r="Q106" t="str">
            <v/>
          </cell>
          <cell r="R106" t="str">
            <v/>
          </cell>
          <cell r="S106" t="str">
            <v/>
          </cell>
          <cell r="T106" t="str">
            <v/>
          </cell>
          <cell r="U106" t="str">
            <v/>
          </cell>
          <cell r="V106" t="str">
            <v/>
          </cell>
          <cell r="W106" t="str">
            <v/>
          </cell>
          <cell r="X106" t="str">
            <v/>
          </cell>
          <cell r="Y106" t="str">
            <v/>
          </cell>
          <cell r="Z106" t="str">
            <v/>
          </cell>
          <cell r="AA106" t="str">
            <v/>
          </cell>
          <cell r="AB106" t="str">
            <v/>
          </cell>
          <cell r="AC106" t="str">
            <v/>
          </cell>
          <cell r="AD106" t="str">
            <v/>
          </cell>
          <cell r="AE106" t="str">
            <v/>
          </cell>
          <cell r="AF106" t="str">
            <v/>
          </cell>
          <cell r="AG106" t="str">
            <v/>
          </cell>
          <cell r="AH106" t="str">
            <v/>
          </cell>
          <cell r="AI106" t="str">
            <v/>
          </cell>
          <cell r="AJ106" t="str">
            <v/>
          </cell>
          <cell r="AK106" t="str">
            <v/>
          </cell>
          <cell r="AL106" t="str">
            <v/>
          </cell>
          <cell r="AM106" t="str">
            <v/>
          </cell>
          <cell r="AN106" t="str">
            <v/>
          </cell>
          <cell r="AO106" t="str">
            <v/>
          </cell>
          <cell r="AP106" t="str">
            <v/>
          </cell>
          <cell r="AQ106" t="str">
            <v/>
          </cell>
          <cell r="AR106" t="str">
            <v/>
          </cell>
          <cell r="AS106" t="str">
            <v/>
          </cell>
          <cell r="AT106" t="str">
            <v/>
          </cell>
          <cell r="AU106" t="str">
            <v/>
          </cell>
          <cell r="AV106" t="str">
            <v/>
          </cell>
          <cell r="AW106" t="str">
            <v/>
          </cell>
          <cell r="AX106" t="str">
            <v/>
          </cell>
          <cell r="AY106" t="str">
            <v/>
          </cell>
          <cell r="AZ106" t="str">
            <v/>
          </cell>
          <cell r="BA106" t="str">
            <v/>
          </cell>
        </row>
        <row r="218">
          <cell r="BK218" t="str">
            <v>Description</v>
          </cell>
          <cell r="BL218" t="str">
            <v>AK</v>
          </cell>
          <cell r="BM218" t="str">
            <v>AL</v>
          </cell>
          <cell r="BN218" t="str">
            <v>AR</v>
          </cell>
          <cell r="BO218" t="str">
            <v>AZ</v>
          </cell>
          <cell r="BP218" t="str">
            <v>CA</v>
          </cell>
          <cell r="BQ218" t="str">
            <v>CO</v>
          </cell>
          <cell r="BR218" t="str">
            <v>CT</v>
          </cell>
          <cell r="BS218" t="str">
            <v>DC</v>
          </cell>
          <cell r="BT218" t="str">
            <v>DE</v>
          </cell>
          <cell r="BU218" t="str">
            <v>FL</v>
          </cell>
          <cell r="BV218" t="str">
            <v>GA</v>
          </cell>
          <cell r="BW218" t="str">
            <v>HI</v>
          </cell>
          <cell r="BX218" t="str">
            <v>IA</v>
          </cell>
          <cell r="BY218" t="str">
            <v>ID</v>
          </cell>
          <cell r="BZ218" t="str">
            <v>IL</v>
          </cell>
          <cell r="CA218" t="str">
            <v>IN</v>
          </cell>
          <cell r="CB218" t="str">
            <v>KS</v>
          </cell>
          <cell r="CC218" t="str">
            <v>KY</v>
          </cell>
          <cell r="CD218" t="str">
            <v>LA</v>
          </cell>
          <cell r="CE218" t="str">
            <v>MA</v>
          </cell>
          <cell r="CF218" t="str">
            <v>MD</v>
          </cell>
          <cell r="CG218" t="str">
            <v>ME</v>
          </cell>
          <cell r="CH218" t="str">
            <v>MI</v>
          </cell>
          <cell r="CI218" t="str">
            <v>MN</v>
          </cell>
          <cell r="CJ218" t="str">
            <v>MO</v>
          </cell>
          <cell r="CK218" t="str">
            <v>MS</v>
          </cell>
          <cell r="CL218" t="str">
            <v>MT</v>
          </cell>
          <cell r="CM218" t="str">
            <v>NC</v>
          </cell>
          <cell r="CN218" t="str">
            <v>ND</v>
          </cell>
          <cell r="CO218" t="str">
            <v>NE</v>
          </cell>
          <cell r="CP218" t="str">
            <v>NH</v>
          </cell>
          <cell r="CQ218" t="str">
            <v>NJ</v>
          </cell>
          <cell r="CR218" t="str">
            <v>NM</v>
          </cell>
          <cell r="CS218" t="str">
            <v>NV</v>
          </cell>
          <cell r="CT218" t="str">
            <v>NY</v>
          </cell>
          <cell r="CU218" t="str">
            <v>OH</v>
          </cell>
          <cell r="CV218" t="str">
            <v>OK</v>
          </cell>
          <cell r="CW218" t="str">
            <v>OR</v>
          </cell>
          <cell r="CX218" t="str">
            <v>PA</v>
          </cell>
          <cell r="CY218" t="str">
            <v>RI</v>
          </cell>
          <cell r="CZ218" t="str">
            <v>SC</v>
          </cell>
          <cell r="DA218" t="str">
            <v>SD</v>
          </cell>
          <cell r="DB218" t="str">
            <v>TN</v>
          </cell>
          <cell r="DC218" t="str">
            <v>TX</v>
          </cell>
          <cell r="DD218" t="str">
            <v>UT</v>
          </cell>
          <cell r="DE218" t="str">
            <v>VA</v>
          </cell>
          <cell r="DF218" t="str">
            <v>VT</v>
          </cell>
          <cell r="DG218" t="str">
            <v>WA</v>
          </cell>
          <cell r="DH218" t="str">
            <v>WI</v>
          </cell>
          <cell r="DI218" t="str">
            <v>WV</v>
          </cell>
          <cell r="DJ218" t="str">
            <v>WY</v>
          </cell>
        </row>
        <row r="219">
          <cell r="BK219">
            <v>1</v>
          </cell>
          <cell r="BM219" t="str">
            <v>City of Birmingham</v>
          </cell>
          <cell r="BN219" t="str">
            <v>Entire State</v>
          </cell>
          <cell r="BR219" t="str">
            <v>City of New Haven</v>
          </cell>
          <cell r="BS219" t="str">
            <v>Entire District</v>
          </cell>
          <cell r="BT219" t="str">
            <v>Entire State</v>
          </cell>
          <cell r="BX219" t="str">
            <v>Entire State</v>
          </cell>
          <cell r="BY219" t="str">
            <v>Entire State</v>
          </cell>
          <cell r="BZ219" t="str">
            <v>City of Chicago</v>
          </cell>
          <cell r="CB219" t="str">
            <v>Kansas City, Wichita and Surrounding Areas</v>
          </cell>
          <cell r="CE219" t="str">
            <v>City of Boston</v>
          </cell>
          <cell r="CF219" t="str">
            <v>Balance of State</v>
          </cell>
          <cell r="CG219" t="str">
            <v>Entire State</v>
          </cell>
          <cell r="CJ219" t="str">
            <v>Kansas City</v>
          </cell>
          <cell r="CL219" t="str">
            <v>Western Montana</v>
          </cell>
          <cell r="CM219" t="str">
            <v>Seacoast</v>
          </cell>
          <cell r="CN219" t="str">
            <v>Entire State</v>
          </cell>
          <cell r="CO219" t="str">
            <v>City of Omaha</v>
          </cell>
          <cell r="CP219" t="str">
            <v>Entire State</v>
          </cell>
          <cell r="CQ219" t="str">
            <v>Atlantic City</v>
          </cell>
          <cell r="CS219" t="str">
            <v>Entire State</v>
          </cell>
          <cell r="CV219" t="str">
            <v>Oklahoma City</v>
          </cell>
          <cell r="CW219" t="str">
            <v>City of Portland</v>
          </cell>
          <cell r="CX219" t="str">
            <v>City and County of Philadelphia</v>
          </cell>
          <cell r="CY219" t="str">
            <v>City of Providence</v>
          </cell>
          <cell r="DA219" t="str">
            <v>Entire State</v>
          </cell>
          <cell r="DB219" t="str">
            <v>City of Memphis</v>
          </cell>
          <cell r="DC219" t="str">
            <v>TX</v>
          </cell>
          <cell r="DD219" t="str">
            <v>Entire State</v>
          </cell>
          <cell r="DE219" t="str">
            <v>Arlington and Parts of Fairax Within 5 Miles of Arlington</v>
          </cell>
          <cell r="DF219" t="str">
            <v>Entire State</v>
          </cell>
          <cell r="DG219" t="str">
            <v>City of Seattle</v>
          </cell>
          <cell r="DH219" t="str">
            <v>City of Milwaukee</v>
          </cell>
          <cell r="DI219" t="str">
            <v>Entire State</v>
          </cell>
        </row>
        <row r="220">
          <cell r="BK220">
            <v>2</v>
          </cell>
          <cell r="BL220" t="str">
            <v>District I</v>
          </cell>
          <cell r="BU220" t="str">
            <v>Broward and Palm Beach Counties</v>
          </cell>
          <cell r="BV220" t="str">
            <v>City of Atlanta</v>
          </cell>
          <cell r="CA220" t="str">
            <v>East Chicago, Lake Station, Gary, Hammond, and Whiting</v>
          </cell>
          <cell r="CB220" t="str">
            <v>Balance of State</v>
          </cell>
          <cell r="CE220" t="str">
            <v>Cambridge, Chelsea,Everett, Revere, Somerville</v>
          </cell>
          <cell r="CF220" t="str">
            <v>Area Within 5 Miles of DC</v>
          </cell>
          <cell r="CH220" t="str">
            <v>City of Detroit</v>
          </cell>
          <cell r="CI220" t="str">
            <v>Remainder of State</v>
          </cell>
          <cell r="CK220" t="str">
            <v>Seacoast</v>
          </cell>
          <cell r="CL220" t="str">
            <v>Middle of Montana</v>
          </cell>
          <cell r="CM220" t="str">
            <v>Outerbanks</v>
          </cell>
          <cell r="CQ220" t="str">
            <v>Essex County</v>
          </cell>
          <cell r="CR220" t="str">
            <v>City of Albuquerque</v>
          </cell>
          <cell r="CT220" t="str">
            <v>Albany, Schenectady, Troy</v>
          </cell>
          <cell r="CU220" t="str">
            <v>Youngstown and Cities in Mahoning County</v>
          </cell>
          <cell r="CV220" t="str">
            <v>City of Tulsa</v>
          </cell>
          <cell r="CW220" t="str">
            <v>Rest of State</v>
          </cell>
          <cell r="CX220" t="str">
            <v>City of Pittsburgh</v>
          </cell>
          <cell r="CY220" t="str">
            <v xml:space="preserve">Cntl. Falls, Cranston, E. Prov., Johnston, N. Prov., Pawtucket </v>
          </cell>
          <cell r="CZ220" t="str">
            <v>Inland</v>
          </cell>
          <cell r="DB220" t="str">
            <v>City of Nashville</v>
          </cell>
          <cell r="DG220" t="str">
            <v>Balance of State</v>
          </cell>
          <cell r="DH220" t="str">
            <v>Remainder of State</v>
          </cell>
          <cell r="DJ220" t="str">
            <v>Eastern Wyoming</v>
          </cell>
        </row>
        <row r="221">
          <cell r="BK221">
            <v>3</v>
          </cell>
          <cell r="BL221" t="str">
            <v>District II</v>
          </cell>
          <cell r="BO221" t="str">
            <v>City of Tucson</v>
          </cell>
          <cell r="BQ221" t="str">
            <v>Area Surrounding Denver</v>
          </cell>
          <cell r="BR221" t="str">
            <v>Darien, Greenwich, Stamford</v>
          </cell>
          <cell r="CA221" t="str">
            <v>Indianapolis FSSD</v>
          </cell>
          <cell r="CC221" t="str">
            <v>Balance of State</v>
          </cell>
          <cell r="CH221" t="str">
            <v>Rest of Oakland, Macomb, Wayne Counties and Cities in Michigan</v>
          </cell>
          <cell r="CI221" t="str">
            <v>Duluth</v>
          </cell>
          <cell r="CJ221" t="str">
            <v>Balance of State</v>
          </cell>
          <cell r="CK221" t="str">
            <v>Middle</v>
          </cell>
          <cell r="CL221" t="str">
            <v>Eastern Montana</v>
          </cell>
          <cell r="CM221" t="str">
            <v>Inland Zone 1</v>
          </cell>
          <cell r="CO221" t="str">
            <v>Eastern Nebraska Excluding Omaha</v>
          </cell>
          <cell r="CQ221" t="str">
            <v>Belleville, Bloomfield, E. Orange, Irvington, Ornage</v>
          </cell>
          <cell r="CR221" t="str">
            <v>Eastern New Mexico</v>
          </cell>
          <cell r="CT221" t="str">
            <v>Various Twons in Westchester County</v>
          </cell>
          <cell r="CV221" t="str">
            <v>Balance of State</v>
          </cell>
          <cell r="CX221" t="str">
            <v>Allegheny County Ex. Pittsburgh</v>
          </cell>
          <cell r="CY221" t="str">
            <v>Balance of State</v>
          </cell>
          <cell r="CZ221" t="str">
            <v>Seacoat</v>
          </cell>
          <cell r="DH221" t="str">
            <v>Remainder of State</v>
          </cell>
          <cell r="DJ221" t="str">
            <v>Western Wyoming</v>
          </cell>
        </row>
        <row r="222">
          <cell r="BK222">
            <v>4</v>
          </cell>
          <cell r="BM222" t="str">
            <v>Inland Territory Excluding Birmingham</v>
          </cell>
          <cell r="BO222" t="str">
            <v>Balance of State</v>
          </cell>
          <cell r="BQ222" t="str">
            <v>City and County of Denver</v>
          </cell>
          <cell r="BR222" t="str">
            <v>Parts of Hartford and New haven Counties</v>
          </cell>
          <cell r="BV222" t="str">
            <v>Balance of State -- Inland Territory</v>
          </cell>
          <cell r="BZ222" t="str">
            <v>Parts of St. Claire And Madison Counties</v>
          </cell>
          <cell r="CA222" t="str">
            <v>Evansville, Ft. Wayne, Mishawaka, Muncie, South Bend, Terre Haute</v>
          </cell>
          <cell r="CC222" t="str">
            <v>City of Louisville</v>
          </cell>
          <cell r="CF222" t="str">
            <v>Baltimore</v>
          </cell>
          <cell r="CH222" t="str">
            <v>Rest of Oakland, Macomb, Wayne Counties and Cities in Michigan</v>
          </cell>
          <cell r="CI222" t="str">
            <v>City of Minneapolis</v>
          </cell>
          <cell r="CJ222" t="str">
            <v>City of St. Louis</v>
          </cell>
          <cell r="CK222" t="str">
            <v>Inland</v>
          </cell>
          <cell r="CM222" t="str">
            <v>Inland Zone 2</v>
          </cell>
          <cell r="CO222" t="str">
            <v>Western Nebraska</v>
          </cell>
          <cell r="CR222" t="str">
            <v>Western New Mexico Excluding Albuquerque</v>
          </cell>
          <cell r="CT222" t="str">
            <v>Syracuse</v>
          </cell>
          <cell r="CU222" t="str">
            <v>City of Akron</v>
          </cell>
          <cell r="CX222" t="str">
            <v>Lackawana and Luzerne Counties</v>
          </cell>
          <cell r="CZ222" t="str">
            <v>Beach Area</v>
          </cell>
          <cell r="DB222" t="str">
            <v>Balance of State</v>
          </cell>
          <cell r="DH222" t="str">
            <v>City of Superior</v>
          </cell>
        </row>
        <row r="223">
          <cell r="BK223">
            <v>5</v>
          </cell>
          <cell r="BM223" t="str">
            <v>Seacoast Territory</v>
          </cell>
          <cell r="BO223" t="str">
            <v>City of Phoenix</v>
          </cell>
          <cell r="BQ223" t="str">
            <v>Eastern Colorado</v>
          </cell>
          <cell r="BR223" t="str">
            <v>Middlebury, Naugatuck, Waterbury, Watertown</v>
          </cell>
          <cell r="BV223" t="str">
            <v>Balance of State -- Seacoast Territory</v>
          </cell>
          <cell r="CA223" t="str">
            <v>Marion County Excluding Indianapolis FSSD</v>
          </cell>
          <cell r="CC223" t="str">
            <v>Area Within 10 Miles of Louisville</v>
          </cell>
          <cell r="CF223" t="str">
            <v>Area Within 5 Miles of Baltimore</v>
          </cell>
          <cell r="CH223" t="str">
            <v>Remainder of State</v>
          </cell>
          <cell r="CI223" t="str">
            <v>City of St. Paul</v>
          </cell>
          <cell r="CJ223" t="str">
            <v>St. Louis County</v>
          </cell>
          <cell r="CQ223" t="str">
            <v>Clifton, Passaic, Paterson, Area S. Or E. Of Wayne</v>
          </cell>
          <cell r="CT223" t="str">
            <v>Utica</v>
          </cell>
          <cell r="CX223" t="str">
            <v>Lehigh and Northampton Counties</v>
          </cell>
          <cell r="DB223" t="str">
            <v>Balance of State</v>
          </cell>
          <cell r="DC223" t="str">
            <v>Dallas County</v>
          </cell>
          <cell r="DE223" t="str">
            <v>Rest of Fairfax, Independent Cities, Rest of State</v>
          </cell>
        </row>
        <row r="224">
          <cell r="BK224">
            <v>6</v>
          </cell>
          <cell r="BM224" t="str">
            <v>Beach Area</v>
          </cell>
          <cell r="BO224" t="str">
            <v>Maricopa County - Area Within 5 Miles of Phoenix City Limits</v>
          </cell>
          <cell r="BQ224" t="str">
            <v>Western Colorado</v>
          </cell>
          <cell r="BR224" t="str">
            <v>Bridgeport, Fairfield, Stratford</v>
          </cell>
          <cell r="BV224" t="str">
            <v>Balance of State -- Beach Area</v>
          </cell>
          <cell r="BZ224" t="str">
            <v>Cook County - Area Bordering Chicago</v>
          </cell>
          <cell r="CE224" t="str">
            <v>Fall River &amp; New Bedford</v>
          </cell>
          <cell r="CH224" t="str">
            <v>Cities Around Detroit</v>
          </cell>
          <cell r="CI224" t="str">
            <v>Area Surrounding Minneapolis and St. Paul</v>
          </cell>
          <cell r="CT224" t="str">
            <v>Rochester</v>
          </cell>
          <cell r="CU224" t="str">
            <v>City of Toledo</v>
          </cell>
          <cell r="DB224" t="str">
            <v>Chattanoga and Knoxville</v>
          </cell>
          <cell r="DC224" t="str">
            <v>Tarrant County</v>
          </cell>
          <cell r="DE224" t="str">
            <v>Chesapeake, Portsmouth, Virginia Beach</v>
          </cell>
        </row>
        <row r="225">
          <cell r="BK225">
            <v>7</v>
          </cell>
          <cell r="BR225" t="str">
            <v>Rest of sTate</v>
          </cell>
          <cell r="BU225" t="str">
            <v>City of Miami</v>
          </cell>
          <cell r="BZ225" t="str">
            <v>Balance of Cook County</v>
          </cell>
          <cell r="CA225" t="str">
            <v>Balance of State</v>
          </cell>
          <cell r="CE225" t="str">
            <v>Lowell and Lynn</v>
          </cell>
          <cell r="CT225" t="str">
            <v>Nassau County</v>
          </cell>
          <cell r="CX225" t="str">
            <v>Parts of Bucks, Delaware, Montgomery Counties</v>
          </cell>
          <cell r="DC225" t="str">
            <v>Bexar County</v>
          </cell>
          <cell r="DE225" t="str">
            <v>Hampton, Newport News, and Coastal Counties</v>
          </cell>
        </row>
        <row r="226">
          <cell r="BK226">
            <v>8</v>
          </cell>
          <cell r="BR226" t="str">
            <v>City of Hartford</v>
          </cell>
          <cell r="BU226" t="str">
            <v>Dade County Excluding Miami</v>
          </cell>
          <cell r="BZ226" t="str">
            <v>Moline, Peoria, Rock Island, Rockford, Springfield</v>
          </cell>
          <cell r="CE226" t="str">
            <v>Springfield, W. Springfield, Worcester</v>
          </cell>
          <cell r="CQ226" t="str">
            <v>Perth Amboy</v>
          </cell>
          <cell r="CT226" t="str">
            <v>Buffalo</v>
          </cell>
          <cell r="CU226" t="str">
            <v>Stark, Bal. Of Cuyahoga, Franklin, Montgomery and Rest of State</v>
          </cell>
          <cell r="DC226" t="str">
            <v>El Paso County</v>
          </cell>
          <cell r="DE226" t="str">
            <v>City of Norfolk</v>
          </cell>
        </row>
        <row r="227">
          <cell r="BK227">
            <v>9</v>
          </cell>
          <cell r="BR227" t="str">
            <v>City of New Britian</v>
          </cell>
          <cell r="BU227" t="str">
            <v>City of Jacksonville -- Inland</v>
          </cell>
          <cell r="BZ227" t="str">
            <v>Counties of Du Page, Kane, Lake, And Will</v>
          </cell>
          <cell r="CE227" t="str">
            <v>Brockton, Haverhill, Lawrence</v>
          </cell>
          <cell r="CQ227" t="str">
            <v>Lakewood</v>
          </cell>
          <cell r="CT227" t="str">
            <v>Parts of Westchester County</v>
          </cell>
          <cell r="CX227" t="str">
            <v>Parts of Erie County</v>
          </cell>
          <cell r="DC227" t="str">
            <v>Travis County</v>
          </cell>
          <cell r="DE227" t="str">
            <v>City of Richmond</v>
          </cell>
        </row>
        <row r="228">
          <cell r="BK228">
            <v>10</v>
          </cell>
          <cell r="BU228" t="str">
            <v>City of Jacksonville -- Seacoast</v>
          </cell>
          <cell r="CE228" t="str">
            <v>Chicopee and Holyoke</v>
          </cell>
          <cell r="CU228" t="str">
            <v>Stark, Bal. Of Cuyahoga, Franklin, Montgomery and Rest of State</v>
          </cell>
          <cell r="DC228" t="str">
            <v>Remainder of Central Texas</v>
          </cell>
          <cell r="DE228" t="str">
            <v>Beach Front of Virginia Beach</v>
          </cell>
        </row>
        <row r="229">
          <cell r="BK229">
            <v>11</v>
          </cell>
          <cell r="BU229" t="str">
            <v>Key West</v>
          </cell>
          <cell r="CQ229" t="str">
            <v>Monmouth County - Beach, Ocean County - Beach, New Brunswick, Bergen County, Union and Middlesex County, North of Raritan River</v>
          </cell>
          <cell r="CT229" t="str">
            <v>Parts of New York &amp; Richmond Counties</v>
          </cell>
          <cell r="CU229" t="str">
            <v>City of Cincinnati</v>
          </cell>
          <cell r="CX229" t="str">
            <v>Counties of N.&amp; W. Pennsylvania Excluding Allegheny and Erie</v>
          </cell>
          <cell r="DC229" t="str">
            <v>Galveston, Nueces, and Jefferson</v>
          </cell>
          <cell r="DE229" t="str">
            <v>Islands of Accomac and North Hampton</v>
          </cell>
        </row>
        <row r="230">
          <cell r="BK230">
            <v>12</v>
          </cell>
          <cell r="BU230" t="str">
            <v>Monroe County Excluding Key West</v>
          </cell>
          <cell r="CQ230" t="str">
            <v>Monmouth County - Beach, Ocean County - Beach, New Brunswick, Bergen County, Union and Middlesex County, North of Raritan River</v>
          </cell>
          <cell r="CU230" t="str">
            <v>Hamilton Coutny Excluding Cincinnati</v>
          </cell>
          <cell r="DC230" t="str">
            <v>Cameron, Hidalgo, and Willacy</v>
          </cell>
          <cell r="DE230" t="str">
            <v>Chesterfield and Henrico Excluding Richmond</v>
          </cell>
        </row>
        <row r="231">
          <cell r="BK231">
            <v>13</v>
          </cell>
          <cell r="BP231" t="str">
            <v>City of San Francisco</v>
          </cell>
          <cell r="BU231" t="str">
            <v>Balance of State Inland</v>
          </cell>
          <cell r="CQ231" t="str">
            <v>Camden County, Ewing, Hamilton Township, Lawrence, Trenton</v>
          </cell>
          <cell r="CT231" t="str">
            <v>Delaware, Greene, Orange, Sullivan, Ulster Counties</v>
          </cell>
          <cell r="CU231" t="str">
            <v>City of Cleveland</v>
          </cell>
          <cell r="DC231" t="str">
            <v>Houston</v>
          </cell>
          <cell r="DE231" t="str">
            <v>City of Suffolk</v>
          </cell>
        </row>
        <row r="232">
          <cell r="BK232">
            <v>14</v>
          </cell>
          <cell r="BP232" t="str">
            <v>Parts of San Mateo County</v>
          </cell>
          <cell r="BU232" t="str">
            <v>Balance of State Seacoast 1</v>
          </cell>
          <cell r="CQ232" t="str">
            <v>Elizabeth</v>
          </cell>
          <cell r="CT232" t="str">
            <v>Miscellaneous</v>
          </cell>
          <cell r="CU232" t="str">
            <v>Cities Surrounding Cleveland</v>
          </cell>
          <cell r="CX232" t="str">
            <v>Dauphin County within 5 Miles of Harrisburg and Cities in Berks</v>
          </cell>
          <cell r="DC232" t="str">
            <v>Remainder of Harris County</v>
          </cell>
        </row>
        <row r="233">
          <cell r="BK233">
            <v>15</v>
          </cell>
          <cell r="BP233" t="str">
            <v>City of Oakland</v>
          </cell>
          <cell r="BU233" t="str">
            <v>Balance of State Seacoast 2</v>
          </cell>
          <cell r="BZ233" t="str">
            <v>Fire Zone I - Balance of state</v>
          </cell>
          <cell r="CE233" t="str">
            <v>Brookline, Malden, Medford, Quincy, Watertown, Winthrop</v>
          </cell>
          <cell r="CQ233" t="str">
            <v>Monmouth County - Beach, Ocean County - Beach, New Brunswick, Bergen County, Union and Middlesex County, North of Raritan River</v>
          </cell>
          <cell r="CT233" t="str">
            <v>Miscellaneous</v>
          </cell>
          <cell r="CU233" t="str">
            <v>City of Columbus</v>
          </cell>
          <cell r="DC233" t="str">
            <v>Remainder of Seacoast</v>
          </cell>
        </row>
        <row r="234">
          <cell r="BK234">
            <v>16</v>
          </cell>
          <cell r="BP234" t="str">
            <v>Parts of Alameda, and Contra Costa</v>
          </cell>
          <cell r="BU234" t="str">
            <v>Balance of State Seacoast 3</v>
          </cell>
          <cell r="BZ234" t="str">
            <v>Fire Zone II - Balance of state</v>
          </cell>
          <cell r="CE234" t="str">
            <v>Balance of Essex, Middlesex, And norfolk Counties</v>
          </cell>
          <cell r="CQ234" t="str">
            <v>Monmouth County - Beach, Ocean County - Beach, New Brunswick, Bergen County, Union and Middlesex County, North of Raritan River</v>
          </cell>
          <cell r="CT234" t="str">
            <v>Suffolk County</v>
          </cell>
          <cell r="CU234" t="str">
            <v>Franklin County Within 5 Miles of Columbus</v>
          </cell>
          <cell r="CX234" t="str">
            <v>Coutnies in Southern Pennsylvania</v>
          </cell>
          <cell r="DC234" t="str">
            <v>North/Northwest I</v>
          </cell>
        </row>
        <row r="235">
          <cell r="BK235">
            <v>17</v>
          </cell>
          <cell r="BP235" t="str">
            <v>City of Los Angeles</v>
          </cell>
          <cell r="BU235" t="str">
            <v>City of Tampa</v>
          </cell>
          <cell r="CE235" t="str">
            <v>Cities in Middlesex And Balance of State</v>
          </cell>
          <cell r="CQ235" t="str">
            <v>Remainder of Middlesex, Monmouth and Passaic Counties and Rest of State</v>
          </cell>
          <cell r="CT235" t="str">
            <v>Miscellaneous</v>
          </cell>
          <cell r="CU235" t="str">
            <v>City of Dayton</v>
          </cell>
          <cell r="CX235" t="str">
            <v>Fire Zone 2</v>
          </cell>
          <cell r="DC235" t="str">
            <v>North/Northwest II</v>
          </cell>
        </row>
        <row r="236">
          <cell r="BK236">
            <v>18</v>
          </cell>
          <cell r="BP236" t="str">
            <v>Parts of District I</v>
          </cell>
          <cell r="CQ236" t="str">
            <v>Jersery City</v>
          </cell>
          <cell r="CU236" t="str">
            <v>Stark, Bal. Of Cuyahoga, Franklin, Montgomery and Rest of State</v>
          </cell>
        </row>
        <row r="237">
          <cell r="BK237">
            <v>19</v>
          </cell>
          <cell r="BP237" t="str">
            <v>Parts of District II</v>
          </cell>
          <cell r="CQ237" t="str">
            <v>Hudson County - East of Hackensack River</v>
          </cell>
          <cell r="CT237" t="str">
            <v>Miscellaneous</v>
          </cell>
          <cell r="CX237" t="str">
            <v>Fire Zone 2</v>
          </cell>
        </row>
        <row r="238">
          <cell r="BK238">
            <v>20</v>
          </cell>
          <cell r="BP238" t="str">
            <v>City of Long Beach</v>
          </cell>
          <cell r="CT238" t="str">
            <v>American Dock Stores and Pers in Richmond County</v>
          </cell>
        </row>
        <row r="239">
          <cell r="BK239">
            <v>21</v>
          </cell>
          <cell r="BP239" t="str">
            <v>City of San Diego</v>
          </cell>
          <cell r="CQ239" t="str">
            <v>Hudson County - West of Hackensack River</v>
          </cell>
          <cell r="CT239" t="str">
            <v>Miscellaneous</v>
          </cell>
        </row>
        <row r="240">
          <cell r="BK240">
            <v>22</v>
          </cell>
          <cell r="BP240" t="str">
            <v>San Diego County Outside of SD City Limits - Dist I</v>
          </cell>
          <cell r="CQ240" t="str">
            <v>Newark</v>
          </cell>
        </row>
        <row r="241">
          <cell r="BK241">
            <v>23</v>
          </cell>
          <cell r="BP241" t="str">
            <v>San Diego County Outside of SD City Limits - Dist II</v>
          </cell>
        </row>
        <row r="242">
          <cell r="BK242">
            <v>24</v>
          </cell>
          <cell r="BP242" t="str">
            <v>City of Sacremento</v>
          </cell>
        </row>
        <row r="243">
          <cell r="BK243">
            <v>25</v>
          </cell>
          <cell r="BP243" t="str">
            <v>Fresno, Kern, San Jaoquin, Sacremento County, Excluding Sacremento</v>
          </cell>
        </row>
        <row r="244">
          <cell r="BK244">
            <v>26</v>
          </cell>
          <cell r="BP244" t="str">
            <v>Parts of San Bernadino - Dist. I</v>
          </cell>
        </row>
        <row r="245">
          <cell r="BK245">
            <v>27</v>
          </cell>
          <cell r="BP245" t="str">
            <v>Parts of San Bernadino - Dist. II</v>
          </cell>
          <cell r="CT245" t="str">
            <v>New York City</v>
          </cell>
        </row>
        <row r="246">
          <cell r="BK246">
            <v>28</v>
          </cell>
          <cell r="BP246" t="str">
            <v>Remainder San Mateo</v>
          </cell>
          <cell r="CT246" t="str">
            <v>New York City</v>
          </cell>
        </row>
        <row r="247">
          <cell r="BK247">
            <v>29</v>
          </cell>
          <cell r="BP247" t="str">
            <v>Remainder of District I</v>
          </cell>
          <cell r="CT247" t="str">
            <v>New York City</v>
          </cell>
        </row>
        <row r="248">
          <cell r="BK248">
            <v>30</v>
          </cell>
          <cell r="BP248" t="str">
            <v>Remainder of District II</v>
          </cell>
          <cell r="CT248" t="str">
            <v>New York City</v>
          </cell>
        </row>
        <row r="249">
          <cell r="BK249">
            <v>31</v>
          </cell>
          <cell r="BP249" t="str">
            <v>City of San Jose</v>
          </cell>
          <cell r="CT249" t="str">
            <v>New York City</v>
          </cell>
        </row>
        <row r="250">
          <cell r="BK250">
            <v>32</v>
          </cell>
          <cell r="CT250" t="str">
            <v>New York City</v>
          </cell>
        </row>
        <row r="251">
          <cell r="BK251">
            <v>33</v>
          </cell>
          <cell r="CT251" t="str">
            <v>New York City</v>
          </cell>
        </row>
        <row r="252">
          <cell r="BK252">
            <v>34</v>
          </cell>
          <cell r="CT252" t="str">
            <v>New York City</v>
          </cell>
        </row>
        <row r="253">
          <cell r="BK253">
            <v>35</v>
          </cell>
          <cell r="CT253" t="str">
            <v>New York City</v>
          </cell>
        </row>
        <row r="254">
          <cell r="BK254">
            <v>36</v>
          </cell>
          <cell r="CT254" t="str">
            <v>New York City</v>
          </cell>
        </row>
        <row r="255">
          <cell r="BK255">
            <v>37</v>
          </cell>
          <cell r="CT255" t="str">
            <v>Putnam County &amp; Parts of Westchester</v>
          </cell>
        </row>
        <row r="256">
          <cell r="BK256">
            <v>38</v>
          </cell>
          <cell r="CT256" t="str">
            <v>Suffolk County</v>
          </cell>
        </row>
        <row r="257">
          <cell r="BK257">
            <v>39</v>
          </cell>
          <cell r="CT257" t="str">
            <v>Rockland County</v>
          </cell>
        </row>
        <row r="258">
          <cell r="BK258">
            <v>40</v>
          </cell>
          <cell r="CX258" t="str">
            <v>Counties of N.&amp; W. Pennsylvania Excluding Allegheny and Erie</v>
          </cell>
          <cell r="DG258">
            <v>0.60299999999999998</v>
          </cell>
        </row>
      </sheetData>
      <sheetData sheetId="13">
        <row r="8">
          <cell r="Q8" t="str">
            <v>Wholesale</v>
          </cell>
          <cell r="R8">
            <v>1</v>
          </cell>
        </row>
        <row r="9">
          <cell r="A9" t="str">
            <v>0100</v>
          </cell>
          <cell r="B9" t="str">
            <v>Farm/Ag</v>
          </cell>
          <cell r="C9" t="str">
            <v>NA</v>
          </cell>
          <cell r="F9" t="str">
            <v>0100</v>
          </cell>
          <cell r="G9" t="str">
            <v>Farm/Ag</v>
          </cell>
          <cell r="H9" t="str">
            <v>NA</v>
          </cell>
          <cell r="J9">
            <v>1</v>
          </cell>
          <cell r="K9">
            <v>0.5</v>
          </cell>
          <cell r="Q9" t="str">
            <v>Retail</v>
          </cell>
          <cell r="R9">
            <v>1</v>
          </cell>
        </row>
        <row r="10">
          <cell r="A10" t="str">
            <v>0111</v>
          </cell>
          <cell r="B10" t="str">
            <v>Farm/Ag</v>
          </cell>
          <cell r="C10" t="str">
            <v>NA</v>
          </cell>
          <cell r="F10" t="str">
            <v>0111</v>
          </cell>
          <cell r="G10" t="str">
            <v>Farm/Ag</v>
          </cell>
          <cell r="H10" t="str">
            <v>NA</v>
          </cell>
          <cell r="J10">
            <v>2</v>
          </cell>
          <cell r="K10">
            <v>0.625</v>
          </cell>
          <cell r="Q10" t="str">
            <v>Office</v>
          </cell>
          <cell r="R10">
            <v>0.6</v>
          </cell>
        </row>
        <row r="11">
          <cell r="A11" t="str">
            <v>0112</v>
          </cell>
          <cell r="B11" t="str">
            <v>Farm/Ag</v>
          </cell>
          <cell r="C11" t="str">
            <v>NA</v>
          </cell>
          <cell r="F11" t="str">
            <v>0112</v>
          </cell>
          <cell r="G11" t="str">
            <v>Farm/Ag</v>
          </cell>
          <cell r="H11" t="str">
            <v>NA</v>
          </cell>
          <cell r="J11">
            <v>3</v>
          </cell>
          <cell r="K11">
            <v>0.75</v>
          </cell>
          <cell r="Q11" t="str">
            <v>Services</v>
          </cell>
          <cell r="R11">
            <v>1.1000000000000001</v>
          </cell>
        </row>
        <row r="12">
          <cell r="A12" t="str">
            <v>0115</v>
          </cell>
          <cell r="B12" t="str">
            <v>Farm/Ag</v>
          </cell>
          <cell r="C12" t="str">
            <v>NA</v>
          </cell>
          <cell r="F12" t="str">
            <v>0115</v>
          </cell>
          <cell r="G12" t="str">
            <v>Farm/Ag</v>
          </cell>
          <cell r="H12" t="str">
            <v>NA</v>
          </cell>
          <cell r="J12">
            <v>4</v>
          </cell>
          <cell r="K12">
            <v>0.875</v>
          </cell>
          <cell r="Q12" t="str">
            <v>Contractors</v>
          </cell>
          <cell r="R12" t="e">
            <v>#N/A</v>
          </cell>
        </row>
        <row r="13">
          <cell r="A13" t="str">
            <v>0116</v>
          </cell>
          <cell r="B13" t="str">
            <v>Farm/Ag</v>
          </cell>
          <cell r="C13" t="str">
            <v>NA</v>
          </cell>
          <cell r="F13" t="str">
            <v>0116</v>
          </cell>
          <cell r="G13" t="str">
            <v>Farm/Ag</v>
          </cell>
          <cell r="H13" t="str">
            <v>NA</v>
          </cell>
          <cell r="J13">
            <v>5</v>
          </cell>
          <cell r="K13">
            <v>1</v>
          </cell>
          <cell r="Q13" t="str">
            <v>Habitational</v>
          </cell>
          <cell r="R13" t="e">
            <v>#N/A</v>
          </cell>
        </row>
        <row r="14">
          <cell r="A14" t="str">
            <v>0119</v>
          </cell>
          <cell r="B14" t="str">
            <v>Farm/Ag</v>
          </cell>
          <cell r="C14" t="str">
            <v>NA</v>
          </cell>
          <cell r="F14" t="str">
            <v>0119</v>
          </cell>
          <cell r="G14" t="str">
            <v>Farm/Ag</v>
          </cell>
          <cell r="H14" t="str">
            <v>NA</v>
          </cell>
          <cell r="J14">
            <v>6</v>
          </cell>
          <cell r="K14">
            <v>1.1000000000000001</v>
          </cell>
          <cell r="M14" t="str">
            <v>Frame</v>
          </cell>
          <cell r="N14">
            <v>1.075</v>
          </cell>
          <cell r="Q14" t="str">
            <v>High Tech</v>
          </cell>
          <cell r="R14">
            <v>1.25</v>
          </cell>
        </row>
        <row r="15">
          <cell r="A15" t="str">
            <v>0131</v>
          </cell>
          <cell r="B15" t="str">
            <v>Farm/Ag</v>
          </cell>
          <cell r="C15" t="str">
            <v>NA</v>
          </cell>
          <cell r="F15" t="str">
            <v>0131</v>
          </cell>
          <cell r="G15" t="str">
            <v>Farm/Ag</v>
          </cell>
          <cell r="H15" t="str">
            <v>NA</v>
          </cell>
          <cell r="J15">
            <v>7</v>
          </cell>
          <cell r="K15">
            <v>1.2</v>
          </cell>
          <cell r="M15" t="str">
            <v>Joisted Masonry</v>
          </cell>
          <cell r="N15">
            <v>0.9</v>
          </cell>
          <cell r="Q15" t="str">
            <v>Manufacturing</v>
          </cell>
          <cell r="R15" t="e">
            <v>#N/A</v>
          </cell>
        </row>
        <row r="16">
          <cell r="A16" t="str">
            <v>0132</v>
          </cell>
          <cell r="B16" t="str">
            <v>Farm/Ag</v>
          </cell>
          <cell r="C16" t="str">
            <v>NA</v>
          </cell>
          <cell r="F16" t="str">
            <v>0132</v>
          </cell>
          <cell r="G16" t="str">
            <v>Farm/Ag</v>
          </cell>
          <cell r="H16" t="str">
            <v>NA</v>
          </cell>
          <cell r="J16">
            <v>8</v>
          </cell>
          <cell r="K16">
            <v>1.3</v>
          </cell>
          <cell r="M16" t="str">
            <v>Non Combustible</v>
          </cell>
          <cell r="N16">
            <v>0.77500000000000002</v>
          </cell>
        </row>
        <row r="17">
          <cell r="A17" t="str">
            <v>0133</v>
          </cell>
          <cell r="B17" t="str">
            <v>Farm/Ag</v>
          </cell>
          <cell r="C17" t="str">
            <v>NA</v>
          </cell>
          <cell r="F17" t="str">
            <v>0133</v>
          </cell>
          <cell r="G17" t="str">
            <v>Farm/Ag</v>
          </cell>
          <cell r="H17" t="str">
            <v>NA</v>
          </cell>
          <cell r="J17">
            <v>9</v>
          </cell>
          <cell r="K17">
            <v>1.4</v>
          </cell>
          <cell r="M17" t="str">
            <v>Masonry Non Combustible</v>
          </cell>
          <cell r="N17">
            <v>0.72499999999999998</v>
          </cell>
        </row>
        <row r="18">
          <cell r="A18" t="str">
            <v>0134</v>
          </cell>
          <cell r="B18" t="str">
            <v>Farm/Ag</v>
          </cell>
          <cell r="C18" t="str">
            <v>NA</v>
          </cell>
          <cell r="F18" t="str">
            <v>0134</v>
          </cell>
          <cell r="G18" t="str">
            <v>Farm/Ag</v>
          </cell>
          <cell r="H18" t="str">
            <v>NA</v>
          </cell>
          <cell r="J18">
            <v>10</v>
          </cell>
          <cell r="K18">
            <v>1.5</v>
          </cell>
          <cell r="M18" t="str">
            <v>Fire Resistive</v>
          </cell>
          <cell r="N18">
            <v>0.60499999999999998</v>
          </cell>
        </row>
        <row r="19">
          <cell r="A19" t="str">
            <v>0139</v>
          </cell>
          <cell r="B19" t="str">
            <v>Farm/Ag</v>
          </cell>
          <cell r="C19" t="str">
            <v>NA</v>
          </cell>
          <cell r="F19" t="str">
            <v>0139</v>
          </cell>
          <cell r="G19" t="str">
            <v>Farm/Ag</v>
          </cell>
          <cell r="H19" t="str">
            <v>NA</v>
          </cell>
        </row>
        <row r="20">
          <cell r="A20" t="str">
            <v>0161</v>
          </cell>
          <cell r="B20" t="str">
            <v>Farm/Ag</v>
          </cell>
          <cell r="C20" t="str">
            <v>NA</v>
          </cell>
          <cell r="F20" t="str">
            <v>0161</v>
          </cell>
          <cell r="G20" t="str">
            <v>Farm/Ag</v>
          </cell>
          <cell r="H20" t="str">
            <v>NA</v>
          </cell>
        </row>
        <row r="21">
          <cell r="A21" t="str">
            <v>0171</v>
          </cell>
          <cell r="B21" t="str">
            <v>Farm/Ag</v>
          </cell>
          <cell r="C21" t="str">
            <v>NA</v>
          </cell>
          <cell r="F21" t="str">
            <v>0171</v>
          </cell>
          <cell r="G21" t="str">
            <v>Farm/Ag</v>
          </cell>
          <cell r="H21" t="str">
            <v>NA</v>
          </cell>
        </row>
        <row r="22">
          <cell r="A22" t="str">
            <v>0172</v>
          </cell>
          <cell r="B22" t="str">
            <v>Farm/Ag</v>
          </cell>
          <cell r="C22" t="str">
            <v>NA</v>
          </cell>
          <cell r="F22" t="str">
            <v>0172</v>
          </cell>
          <cell r="G22" t="str">
            <v>Farm/Ag</v>
          </cell>
          <cell r="H22" t="str">
            <v>NA</v>
          </cell>
          <cell r="M22" t="str">
            <v>01-04</v>
          </cell>
          <cell r="N22">
            <v>0.92</v>
          </cell>
          <cell r="Q22">
            <v>300000</v>
          </cell>
          <cell r="R22">
            <v>1</v>
          </cell>
        </row>
        <row r="23">
          <cell r="A23" t="str">
            <v>0173</v>
          </cell>
          <cell r="B23" t="str">
            <v>Farm/Ag</v>
          </cell>
          <cell r="C23" t="str">
            <v>NA</v>
          </cell>
          <cell r="F23" t="str">
            <v>0173</v>
          </cell>
          <cell r="G23" t="str">
            <v>Farm/Ag</v>
          </cell>
          <cell r="H23" t="str">
            <v>NA</v>
          </cell>
          <cell r="J23">
            <v>1</v>
          </cell>
          <cell r="K23">
            <v>0.5</v>
          </cell>
          <cell r="M23" t="str">
            <v>05-06</v>
          </cell>
          <cell r="N23">
            <v>1</v>
          </cell>
          <cell r="Q23">
            <v>500000</v>
          </cell>
          <cell r="R23">
            <v>1.57</v>
          </cell>
        </row>
        <row r="24">
          <cell r="A24" t="str">
            <v>0174</v>
          </cell>
          <cell r="B24" t="str">
            <v>Farm/Ag</v>
          </cell>
          <cell r="C24" t="str">
            <v>NA</v>
          </cell>
          <cell r="F24" t="str">
            <v>0174</v>
          </cell>
          <cell r="G24" t="str">
            <v>Farm/Ag</v>
          </cell>
          <cell r="H24" t="str">
            <v>NA</v>
          </cell>
          <cell r="J24">
            <v>2</v>
          </cell>
          <cell r="K24">
            <v>0.625</v>
          </cell>
          <cell r="M24" t="str">
            <v>07-08</v>
          </cell>
          <cell r="N24">
            <v>1.18</v>
          </cell>
          <cell r="Q24">
            <v>1000000</v>
          </cell>
          <cell r="R24">
            <v>2.35</v>
          </cell>
        </row>
        <row r="25">
          <cell r="A25" t="str">
            <v>0175</v>
          </cell>
          <cell r="B25" t="str">
            <v>Farm/Ag</v>
          </cell>
          <cell r="C25" t="str">
            <v>NA</v>
          </cell>
          <cell r="F25" t="str">
            <v>0175</v>
          </cell>
          <cell r="G25" t="str">
            <v>Farm/Ag</v>
          </cell>
          <cell r="H25" t="str">
            <v>NA</v>
          </cell>
          <cell r="J25">
            <v>3</v>
          </cell>
          <cell r="K25">
            <v>0.75</v>
          </cell>
          <cell r="M25" t="str">
            <v>09-10</v>
          </cell>
          <cell r="N25">
            <v>1.42</v>
          </cell>
          <cell r="Q25">
            <v>2000000</v>
          </cell>
          <cell r="R25">
            <v>3.15</v>
          </cell>
        </row>
        <row r="26">
          <cell r="A26" t="str">
            <v>0179</v>
          </cell>
          <cell r="B26" t="str">
            <v>Farm/Ag</v>
          </cell>
          <cell r="C26" t="str">
            <v>NA</v>
          </cell>
          <cell r="F26" t="str">
            <v>0179</v>
          </cell>
          <cell r="G26" t="str">
            <v>Farm/Ag</v>
          </cell>
          <cell r="H26" t="str">
            <v>NA</v>
          </cell>
          <cell r="J26">
            <v>4</v>
          </cell>
          <cell r="K26">
            <v>0.875</v>
          </cell>
        </row>
        <row r="27">
          <cell r="A27" t="str">
            <v>0181</v>
          </cell>
          <cell r="B27" t="str">
            <v>Farm/Ag</v>
          </cell>
          <cell r="C27" t="str">
            <v>NA</v>
          </cell>
          <cell r="F27" t="str">
            <v>0181</v>
          </cell>
          <cell r="G27" t="str">
            <v>Farm/Ag</v>
          </cell>
          <cell r="H27" t="str">
            <v>NA</v>
          </cell>
          <cell r="J27">
            <v>5</v>
          </cell>
          <cell r="K27">
            <v>1</v>
          </cell>
        </row>
        <row r="28">
          <cell r="A28" t="str">
            <v>0182</v>
          </cell>
          <cell r="B28" t="str">
            <v>Farm/Ag</v>
          </cell>
          <cell r="C28" t="str">
            <v>NA</v>
          </cell>
          <cell r="F28" t="str">
            <v>0182</v>
          </cell>
          <cell r="G28" t="str">
            <v>Farm/Ag</v>
          </cell>
          <cell r="H28" t="str">
            <v>NA</v>
          </cell>
          <cell r="J28">
            <v>6</v>
          </cell>
          <cell r="K28">
            <v>1.1000000000000001</v>
          </cell>
        </row>
        <row r="29">
          <cell r="A29" t="str">
            <v>0191</v>
          </cell>
          <cell r="B29" t="str">
            <v>Farm/Ag</v>
          </cell>
          <cell r="C29" t="str">
            <v>NA</v>
          </cell>
          <cell r="F29" t="str">
            <v>0191</v>
          </cell>
          <cell r="G29" t="str">
            <v>Farm/Ag</v>
          </cell>
          <cell r="H29" t="str">
            <v>NA</v>
          </cell>
          <cell r="J29">
            <v>7</v>
          </cell>
          <cell r="K29">
            <v>1.2</v>
          </cell>
          <cell r="M29" t="str">
            <v>Wholesale</v>
          </cell>
          <cell r="N29">
            <v>1</v>
          </cell>
        </row>
        <row r="30">
          <cell r="A30" t="str">
            <v>0200</v>
          </cell>
          <cell r="B30" t="str">
            <v>Farm/Ag</v>
          </cell>
          <cell r="C30" t="str">
            <v>NA</v>
          </cell>
          <cell r="F30" t="str">
            <v>0200</v>
          </cell>
          <cell r="G30" t="str">
            <v>Farm/Ag</v>
          </cell>
          <cell r="H30" t="str">
            <v>NA</v>
          </cell>
          <cell r="J30">
            <v>8</v>
          </cell>
          <cell r="K30">
            <v>1.3</v>
          </cell>
          <cell r="M30" t="str">
            <v>Retail</v>
          </cell>
          <cell r="N30">
            <v>1</v>
          </cell>
        </row>
        <row r="31">
          <cell r="A31" t="str">
            <v>0211</v>
          </cell>
          <cell r="B31" t="str">
            <v>Farm/Ag</v>
          </cell>
          <cell r="C31" t="str">
            <v>NA</v>
          </cell>
          <cell r="F31" t="str">
            <v>0211</v>
          </cell>
          <cell r="G31" t="str">
            <v>Farm/Ag</v>
          </cell>
          <cell r="H31" t="str">
            <v>NA</v>
          </cell>
          <cell r="J31">
            <v>9</v>
          </cell>
          <cell r="K31">
            <v>1.4</v>
          </cell>
          <cell r="M31" t="str">
            <v>Office</v>
          </cell>
          <cell r="N31">
            <v>0.6</v>
          </cell>
        </row>
        <row r="32">
          <cell r="A32" t="str">
            <v>0212</v>
          </cell>
          <cell r="B32" t="str">
            <v>Farm/Ag</v>
          </cell>
          <cell r="C32" t="str">
            <v>NA</v>
          </cell>
          <cell r="F32" t="str">
            <v>0212</v>
          </cell>
          <cell r="G32" t="str">
            <v>Farm/Ag</v>
          </cell>
          <cell r="H32" t="str">
            <v>NA</v>
          </cell>
          <cell r="J32">
            <v>10</v>
          </cell>
          <cell r="K32">
            <v>1.5</v>
          </cell>
          <cell r="M32" t="str">
            <v>Services</v>
          </cell>
          <cell r="N32">
            <v>0.75</v>
          </cell>
        </row>
        <row r="33">
          <cell r="A33" t="str">
            <v>0213</v>
          </cell>
          <cell r="B33" t="str">
            <v>Farm/Ag</v>
          </cell>
          <cell r="C33" t="str">
            <v>NA</v>
          </cell>
          <cell r="F33" t="str">
            <v>0213</v>
          </cell>
          <cell r="G33" t="str">
            <v>Farm/Ag</v>
          </cell>
          <cell r="H33" t="str">
            <v>NA</v>
          </cell>
          <cell r="M33" t="str">
            <v>Contractors</v>
          </cell>
          <cell r="N33" t="e">
            <v>#N/A</v>
          </cell>
        </row>
        <row r="34">
          <cell r="A34" t="str">
            <v>0214</v>
          </cell>
          <cell r="B34" t="str">
            <v>Farm/Ag</v>
          </cell>
          <cell r="C34" t="str">
            <v>NA</v>
          </cell>
          <cell r="F34" t="str">
            <v>0214</v>
          </cell>
          <cell r="G34" t="str">
            <v>Farm/Ag</v>
          </cell>
          <cell r="H34" t="str">
            <v>NA</v>
          </cell>
          <cell r="M34" t="str">
            <v>Habitational</v>
          </cell>
          <cell r="N34" t="e">
            <v>#N/A</v>
          </cell>
        </row>
        <row r="35">
          <cell r="A35" t="str">
            <v>0219</v>
          </cell>
          <cell r="B35" t="str">
            <v>Farm/Ag</v>
          </cell>
          <cell r="C35" t="str">
            <v>NA</v>
          </cell>
          <cell r="F35" t="str">
            <v>0219</v>
          </cell>
          <cell r="G35" t="str">
            <v>Farm/Ag</v>
          </cell>
          <cell r="H35" t="str">
            <v>NA</v>
          </cell>
          <cell r="M35" t="str">
            <v>High Tech</v>
          </cell>
          <cell r="N35">
            <v>1.5</v>
          </cell>
        </row>
        <row r="36">
          <cell r="A36" t="str">
            <v>0241</v>
          </cell>
          <cell r="B36" t="str">
            <v>Farm/Ag</v>
          </cell>
          <cell r="C36" t="str">
            <v>NA</v>
          </cell>
          <cell r="F36" t="str">
            <v>0241</v>
          </cell>
          <cell r="G36" t="str">
            <v>Farm/Ag</v>
          </cell>
          <cell r="H36" t="str">
            <v>NA</v>
          </cell>
          <cell r="M36" t="str">
            <v>Manufacturing</v>
          </cell>
          <cell r="N36" t="e">
            <v>#N/A</v>
          </cell>
        </row>
        <row r="37">
          <cell r="A37" t="str">
            <v>0251</v>
          </cell>
          <cell r="B37" t="str">
            <v>Farm/Ag</v>
          </cell>
          <cell r="C37" t="str">
            <v>NA</v>
          </cell>
          <cell r="F37" t="str">
            <v>0251</v>
          </cell>
          <cell r="G37" t="str">
            <v>Farm/Ag</v>
          </cell>
          <cell r="H37" t="str">
            <v>NA</v>
          </cell>
        </row>
        <row r="38">
          <cell r="A38" t="str">
            <v>0252</v>
          </cell>
          <cell r="B38" t="str">
            <v>Farm/Ag</v>
          </cell>
          <cell r="C38" t="str">
            <v>NA</v>
          </cell>
          <cell r="F38" t="str">
            <v>0252</v>
          </cell>
          <cell r="G38" t="str">
            <v>Farm/Ag</v>
          </cell>
          <cell r="H38" t="str">
            <v>NA</v>
          </cell>
        </row>
        <row r="39">
          <cell r="A39" t="str">
            <v>0253</v>
          </cell>
          <cell r="B39" t="str">
            <v>Farm/Ag</v>
          </cell>
          <cell r="C39" t="str">
            <v>NA</v>
          </cell>
          <cell r="F39" t="str">
            <v>0253</v>
          </cell>
          <cell r="G39" t="str">
            <v>Farm/Ag</v>
          </cell>
          <cell r="H39" t="str">
            <v>NA</v>
          </cell>
        </row>
        <row r="40">
          <cell r="A40" t="str">
            <v>0254</v>
          </cell>
          <cell r="B40" t="str">
            <v>Farm/Ag</v>
          </cell>
          <cell r="C40" t="str">
            <v>NA</v>
          </cell>
          <cell r="F40" t="str">
            <v>0254</v>
          </cell>
          <cell r="G40" t="str">
            <v>Farm/Ag</v>
          </cell>
          <cell r="H40" t="str">
            <v>NA</v>
          </cell>
        </row>
        <row r="41">
          <cell r="A41" t="str">
            <v>0259</v>
          </cell>
          <cell r="B41" t="str">
            <v>Farm/Ag</v>
          </cell>
          <cell r="C41" t="str">
            <v>NA</v>
          </cell>
          <cell r="F41" t="str">
            <v>0259</v>
          </cell>
          <cell r="G41" t="str">
            <v>Farm/Ag</v>
          </cell>
          <cell r="H41" t="str">
            <v>NA</v>
          </cell>
        </row>
        <row r="42">
          <cell r="A42" t="str">
            <v>0271</v>
          </cell>
          <cell r="B42" t="str">
            <v>Farm/Ag</v>
          </cell>
          <cell r="C42" t="str">
            <v>NA</v>
          </cell>
          <cell r="F42" t="str">
            <v>0271</v>
          </cell>
          <cell r="G42" t="str">
            <v>Farm/Ag</v>
          </cell>
          <cell r="H42" t="str">
            <v>NA</v>
          </cell>
          <cell r="J42">
            <v>500</v>
          </cell>
          <cell r="K42">
            <v>1</v>
          </cell>
        </row>
        <row r="43">
          <cell r="A43" t="str">
            <v>0272</v>
          </cell>
          <cell r="B43" t="str">
            <v>Farm/Ag</v>
          </cell>
          <cell r="C43" t="str">
            <v>NA</v>
          </cell>
          <cell r="F43" t="str">
            <v>0272</v>
          </cell>
          <cell r="G43" t="str">
            <v>Farm/Ag</v>
          </cell>
          <cell r="H43" t="str">
            <v>NA</v>
          </cell>
          <cell r="J43">
            <v>1000</v>
          </cell>
          <cell r="K43">
            <v>0.95</v>
          </cell>
        </row>
        <row r="44">
          <cell r="A44" t="str">
            <v>0273</v>
          </cell>
          <cell r="B44" t="str">
            <v>Farm/Ag</v>
          </cell>
          <cell r="C44" t="str">
            <v>NA</v>
          </cell>
          <cell r="F44" t="str">
            <v>0273</v>
          </cell>
          <cell r="G44" t="str">
            <v>Farm/Ag</v>
          </cell>
          <cell r="H44" t="str">
            <v>NA</v>
          </cell>
          <cell r="J44">
            <v>2500</v>
          </cell>
          <cell r="K44">
            <v>0.875</v>
          </cell>
        </row>
        <row r="45">
          <cell r="A45" t="str">
            <v>0279</v>
          </cell>
          <cell r="B45" t="str">
            <v>Farm/Ag</v>
          </cell>
          <cell r="C45" t="str">
            <v>NA</v>
          </cell>
          <cell r="F45" t="str">
            <v>0279</v>
          </cell>
          <cell r="G45" t="str">
            <v>Farm/Ag</v>
          </cell>
          <cell r="H45" t="str">
            <v>NA</v>
          </cell>
          <cell r="J45">
            <v>5000</v>
          </cell>
          <cell r="K45">
            <v>0.8</v>
          </cell>
        </row>
        <row r="46">
          <cell r="A46" t="str">
            <v>0291</v>
          </cell>
          <cell r="B46" t="str">
            <v>Farm/Ag</v>
          </cell>
          <cell r="C46" t="str">
            <v>NA</v>
          </cell>
          <cell r="F46" t="str">
            <v>0291</v>
          </cell>
          <cell r="G46" t="str">
            <v>Farm/Ag</v>
          </cell>
          <cell r="H46" t="str">
            <v>NA</v>
          </cell>
          <cell r="J46">
            <v>10000</v>
          </cell>
          <cell r="K46">
            <v>0.72499999999999998</v>
          </cell>
        </row>
        <row r="47">
          <cell r="A47" t="str">
            <v>0711</v>
          </cell>
          <cell r="B47" t="str">
            <v>Farm/Ag</v>
          </cell>
          <cell r="C47" t="str">
            <v>NA</v>
          </cell>
          <cell r="F47" t="str">
            <v>0711</v>
          </cell>
          <cell r="G47" t="str">
            <v>Farm/Ag</v>
          </cell>
          <cell r="H47" t="str">
            <v>NA</v>
          </cell>
        </row>
        <row r="48">
          <cell r="A48" t="str">
            <v>0721</v>
          </cell>
          <cell r="B48" t="str">
            <v>Farm/Ag</v>
          </cell>
          <cell r="C48" t="str">
            <v>NA</v>
          </cell>
          <cell r="F48" t="str">
            <v>0721</v>
          </cell>
          <cell r="G48" t="str">
            <v>Farm/Ag</v>
          </cell>
          <cell r="H48" t="str">
            <v>NA</v>
          </cell>
        </row>
        <row r="49">
          <cell r="A49" t="str">
            <v>0722</v>
          </cell>
          <cell r="B49" t="str">
            <v>Farm/Ag</v>
          </cell>
          <cell r="C49" t="str">
            <v>NA</v>
          </cell>
          <cell r="F49" t="str">
            <v>0722</v>
          </cell>
          <cell r="G49" t="str">
            <v>Farm/Ag</v>
          </cell>
          <cell r="H49" t="str">
            <v>NA</v>
          </cell>
        </row>
        <row r="50">
          <cell r="A50" t="str">
            <v>0723</v>
          </cell>
          <cell r="B50" t="str">
            <v>Farm/Ag</v>
          </cell>
          <cell r="C50" t="str">
            <v>NA</v>
          </cell>
          <cell r="F50" t="str">
            <v>0723</v>
          </cell>
          <cell r="G50" t="str">
            <v>Farm/Ag</v>
          </cell>
          <cell r="H50" t="str">
            <v>NA</v>
          </cell>
        </row>
        <row r="51">
          <cell r="A51" t="str">
            <v>0724</v>
          </cell>
          <cell r="B51" t="str">
            <v>Farm/Ag</v>
          </cell>
          <cell r="C51" t="str">
            <v>NA</v>
          </cell>
          <cell r="F51" t="str">
            <v>0724</v>
          </cell>
          <cell r="G51" t="str">
            <v>Farm/Ag</v>
          </cell>
          <cell r="H51" t="str">
            <v>NA</v>
          </cell>
        </row>
        <row r="52">
          <cell r="A52" t="str">
            <v>0741</v>
          </cell>
          <cell r="B52" t="str">
            <v>Services</v>
          </cell>
          <cell r="C52" t="str">
            <v>NA</v>
          </cell>
          <cell r="F52" t="str">
            <v>0741</v>
          </cell>
          <cell r="G52" t="str">
            <v>Services</v>
          </cell>
          <cell r="H52" t="str">
            <v>NA</v>
          </cell>
        </row>
        <row r="53">
          <cell r="A53" t="str">
            <v>0742</v>
          </cell>
          <cell r="B53" t="str">
            <v>Services</v>
          </cell>
          <cell r="C53">
            <v>4</v>
          </cell>
          <cell r="F53" t="str">
            <v>0742</v>
          </cell>
          <cell r="G53" t="str">
            <v>Services</v>
          </cell>
          <cell r="H53">
            <v>4</v>
          </cell>
        </row>
        <row r="54">
          <cell r="A54" t="str">
            <v>0751</v>
          </cell>
          <cell r="B54" t="str">
            <v>Services</v>
          </cell>
          <cell r="C54" t="str">
            <v>NA</v>
          </cell>
          <cell r="F54" t="str">
            <v>0751</v>
          </cell>
          <cell r="G54" t="str">
            <v>Services</v>
          </cell>
          <cell r="H54" t="str">
            <v>NA</v>
          </cell>
        </row>
        <row r="55">
          <cell r="A55" t="str">
            <v>0752</v>
          </cell>
          <cell r="B55" t="str">
            <v>Services</v>
          </cell>
          <cell r="C55">
            <v>4</v>
          </cell>
          <cell r="F55" t="str">
            <v>0752</v>
          </cell>
          <cell r="G55" t="str">
            <v>Services</v>
          </cell>
          <cell r="H55">
            <v>5</v>
          </cell>
        </row>
        <row r="56">
          <cell r="A56" t="str">
            <v>0761</v>
          </cell>
          <cell r="B56" t="str">
            <v>Farm/Ag</v>
          </cell>
          <cell r="C56" t="str">
            <v>NA</v>
          </cell>
          <cell r="F56" t="str">
            <v>0761</v>
          </cell>
          <cell r="G56" t="str">
            <v>Farm/Ag</v>
          </cell>
          <cell r="H56" t="str">
            <v>NA</v>
          </cell>
        </row>
        <row r="57">
          <cell r="A57" t="str">
            <v>0762</v>
          </cell>
          <cell r="B57" t="str">
            <v>Farm/Ag</v>
          </cell>
          <cell r="C57" t="str">
            <v>NA</v>
          </cell>
          <cell r="F57" t="str">
            <v>0762</v>
          </cell>
          <cell r="G57" t="str">
            <v>Farm/Ag</v>
          </cell>
          <cell r="H57" t="str">
            <v>NA</v>
          </cell>
        </row>
        <row r="58">
          <cell r="A58" t="str">
            <v>0781</v>
          </cell>
          <cell r="B58" t="str">
            <v>Services</v>
          </cell>
          <cell r="C58" t="str">
            <v>NA</v>
          </cell>
          <cell r="F58" t="str">
            <v>0781</v>
          </cell>
          <cell r="G58" t="str">
            <v>Services</v>
          </cell>
          <cell r="H58" t="str">
            <v>NA</v>
          </cell>
        </row>
        <row r="59">
          <cell r="A59" t="str">
            <v>0782</v>
          </cell>
          <cell r="B59" t="str">
            <v>Services</v>
          </cell>
          <cell r="C59" t="str">
            <v>NA</v>
          </cell>
          <cell r="F59" t="str">
            <v>0782</v>
          </cell>
          <cell r="G59" t="str">
            <v>Services</v>
          </cell>
          <cell r="H59" t="str">
            <v>NA</v>
          </cell>
        </row>
        <row r="60">
          <cell r="A60" t="str">
            <v>0783</v>
          </cell>
          <cell r="B60" t="str">
            <v>Services</v>
          </cell>
          <cell r="C60" t="str">
            <v>NA</v>
          </cell>
          <cell r="F60" t="str">
            <v>0783</v>
          </cell>
          <cell r="G60" t="str">
            <v>Services</v>
          </cell>
          <cell r="H60" t="str">
            <v>NA</v>
          </cell>
        </row>
        <row r="61">
          <cell r="A61" t="str">
            <v>0811</v>
          </cell>
          <cell r="B61" t="str">
            <v>Farm/Ag</v>
          </cell>
          <cell r="C61" t="str">
            <v>NA</v>
          </cell>
          <cell r="F61" t="str">
            <v>0811</v>
          </cell>
          <cell r="G61" t="str">
            <v>Farm/Ag</v>
          </cell>
          <cell r="H61" t="str">
            <v>NA</v>
          </cell>
        </row>
        <row r="62">
          <cell r="A62" t="str">
            <v>0831</v>
          </cell>
          <cell r="B62" t="str">
            <v>Farm/Ag</v>
          </cell>
          <cell r="C62" t="str">
            <v>NA</v>
          </cell>
          <cell r="F62" t="str">
            <v>0831</v>
          </cell>
          <cell r="G62" t="str">
            <v>Farm/Ag</v>
          </cell>
          <cell r="H62" t="str">
            <v>NA</v>
          </cell>
        </row>
        <row r="63">
          <cell r="A63" t="str">
            <v>0851</v>
          </cell>
          <cell r="B63" t="str">
            <v>Farm/Ag</v>
          </cell>
          <cell r="C63" t="str">
            <v>NA</v>
          </cell>
          <cell r="F63" t="str">
            <v>0851</v>
          </cell>
          <cell r="G63" t="str">
            <v>Farm/Ag</v>
          </cell>
          <cell r="H63" t="str">
            <v>NA</v>
          </cell>
        </row>
        <row r="64">
          <cell r="A64" t="str">
            <v>0912</v>
          </cell>
          <cell r="B64" t="str">
            <v>Farm/Ag</v>
          </cell>
          <cell r="C64" t="str">
            <v>NA</v>
          </cell>
          <cell r="F64" t="str">
            <v>0912</v>
          </cell>
          <cell r="G64" t="str">
            <v>Farm/Ag</v>
          </cell>
          <cell r="H64" t="str">
            <v>NA</v>
          </cell>
        </row>
        <row r="65">
          <cell r="A65" t="str">
            <v>0913</v>
          </cell>
          <cell r="B65" t="str">
            <v>Farm/Ag</v>
          </cell>
          <cell r="C65" t="str">
            <v>NA</v>
          </cell>
          <cell r="F65" t="str">
            <v>0913</v>
          </cell>
          <cell r="G65" t="str">
            <v>Farm/Ag</v>
          </cell>
          <cell r="H65" t="str">
            <v>NA</v>
          </cell>
        </row>
        <row r="66">
          <cell r="A66" t="str">
            <v>0919</v>
          </cell>
          <cell r="B66" t="str">
            <v>Farm/Ag</v>
          </cell>
          <cell r="C66" t="str">
            <v>NA</v>
          </cell>
          <cell r="F66" t="str">
            <v>0919</v>
          </cell>
          <cell r="G66" t="str">
            <v>Farm/Ag</v>
          </cell>
          <cell r="H66" t="str">
            <v>NA</v>
          </cell>
        </row>
        <row r="67">
          <cell r="A67" t="str">
            <v>0921</v>
          </cell>
          <cell r="B67" t="str">
            <v>Farm/Ag</v>
          </cell>
          <cell r="C67" t="str">
            <v>NA</v>
          </cell>
          <cell r="F67" t="str">
            <v>0921</v>
          </cell>
          <cell r="G67" t="str">
            <v>Farm/Ag</v>
          </cell>
          <cell r="H67" t="str">
            <v>NA</v>
          </cell>
        </row>
        <row r="68">
          <cell r="A68" t="str">
            <v>0971</v>
          </cell>
          <cell r="B68" t="str">
            <v>Farm/Ag</v>
          </cell>
          <cell r="C68" t="str">
            <v>NA</v>
          </cell>
          <cell r="F68" t="str">
            <v>0971</v>
          </cell>
          <cell r="G68" t="str">
            <v>Farm/Ag</v>
          </cell>
          <cell r="H68" t="str">
            <v>NA</v>
          </cell>
        </row>
        <row r="69">
          <cell r="A69" t="str">
            <v>1011</v>
          </cell>
          <cell r="B69" t="str">
            <v>Ind &amp; Proc.</v>
          </cell>
          <cell r="C69" t="str">
            <v>NA</v>
          </cell>
          <cell r="F69" t="str">
            <v>1011</v>
          </cell>
          <cell r="G69" t="str">
            <v>Ind &amp; Proc.</v>
          </cell>
          <cell r="H69" t="str">
            <v>NA</v>
          </cell>
        </row>
        <row r="70">
          <cell r="A70" t="str">
            <v>1021</v>
          </cell>
          <cell r="B70" t="str">
            <v>Ind &amp; Proc.</v>
          </cell>
          <cell r="C70" t="str">
            <v>NA</v>
          </cell>
          <cell r="F70" t="str">
            <v>1021</v>
          </cell>
          <cell r="G70" t="str">
            <v>Ind &amp; Proc.</v>
          </cell>
          <cell r="H70" t="str">
            <v>NA</v>
          </cell>
        </row>
        <row r="71">
          <cell r="A71" t="str">
            <v>1031</v>
          </cell>
          <cell r="B71" t="str">
            <v>Ind &amp; Proc.</v>
          </cell>
          <cell r="C71" t="str">
            <v>NA</v>
          </cell>
          <cell r="F71" t="str">
            <v>1031</v>
          </cell>
          <cell r="G71" t="str">
            <v>Ind &amp; Proc.</v>
          </cell>
          <cell r="H71" t="str">
            <v>NA</v>
          </cell>
        </row>
        <row r="72">
          <cell r="A72" t="str">
            <v>1041</v>
          </cell>
          <cell r="B72" t="str">
            <v>Ind &amp; Proc.</v>
          </cell>
          <cell r="C72" t="str">
            <v>NA</v>
          </cell>
          <cell r="F72" t="str">
            <v>1041</v>
          </cell>
          <cell r="G72" t="str">
            <v>Ind &amp; Proc.</v>
          </cell>
          <cell r="H72" t="str">
            <v>NA</v>
          </cell>
        </row>
        <row r="73">
          <cell r="A73" t="str">
            <v>1044</v>
          </cell>
          <cell r="B73" t="str">
            <v>Ind &amp; Proc.</v>
          </cell>
          <cell r="C73" t="str">
            <v>NA</v>
          </cell>
          <cell r="F73" t="str">
            <v>1044</v>
          </cell>
          <cell r="G73" t="str">
            <v>Ind &amp; Proc.</v>
          </cell>
          <cell r="H73" t="str">
            <v>NA</v>
          </cell>
        </row>
        <row r="74">
          <cell r="A74" t="str">
            <v>1061</v>
          </cell>
          <cell r="B74" t="str">
            <v>Ind &amp; Proc.</v>
          </cell>
          <cell r="C74" t="str">
            <v>NA</v>
          </cell>
          <cell r="F74" t="str">
            <v>1061</v>
          </cell>
          <cell r="G74" t="str">
            <v>Ind &amp; Proc.</v>
          </cell>
          <cell r="H74" t="str">
            <v>NA</v>
          </cell>
        </row>
        <row r="75">
          <cell r="A75" t="str">
            <v>1081</v>
          </cell>
          <cell r="B75" t="str">
            <v>Ind &amp; Proc.</v>
          </cell>
          <cell r="C75" t="str">
            <v>NA</v>
          </cell>
          <cell r="F75" t="str">
            <v>1081</v>
          </cell>
          <cell r="G75" t="str">
            <v>Ind &amp; Proc.</v>
          </cell>
          <cell r="H75" t="str">
            <v>NA</v>
          </cell>
        </row>
        <row r="76">
          <cell r="A76" t="str">
            <v>1094</v>
          </cell>
          <cell r="B76" t="str">
            <v>Ind &amp; Proc.</v>
          </cell>
          <cell r="C76" t="str">
            <v>NA</v>
          </cell>
          <cell r="F76" t="str">
            <v>1094</v>
          </cell>
          <cell r="G76" t="str">
            <v>Ind &amp; Proc.</v>
          </cell>
          <cell r="H76" t="str">
            <v>NA</v>
          </cell>
        </row>
        <row r="77">
          <cell r="A77" t="str">
            <v>1099</v>
          </cell>
          <cell r="B77" t="str">
            <v>Ind &amp; Proc.</v>
          </cell>
          <cell r="C77" t="str">
            <v>NA</v>
          </cell>
          <cell r="F77" t="str">
            <v>1099</v>
          </cell>
          <cell r="G77" t="str">
            <v>Ind &amp; Proc.</v>
          </cell>
          <cell r="H77" t="str">
            <v>NA</v>
          </cell>
        </row>
        <row r="78">
          <cell r="A78" t="str">
            <v>1221</v>
          </cell>
          <cell r="B78" t="str">
            <v>Ind &amp; Proc.</v>
          </cell>
          <cell r="C78" t="str">
            <v>NA</v>
          </cell>
          <cell r="F78" t="str">
            <v>1221</v>
          </cell>
          <cell r="G78" t="str">
            <v>Ind &amp; Proc.</v>
          </cell>
          <cell r="H78" t="str">
            <v>NA</v>
          </cell>
        </row>
        <row r="79">
          <cell r="A79" t="str">
            <v>1222</v>
          </cell>
          <cell r="B79" t="str">
            <v>Ind &amp; Proc.</v>
          </cell>
          <cell r="C79" t="str">
            <v>NA</v>
          </cell>
          <cell r="F79" t="str">
            <v>1222</v>
          </cell>
          <cell r="G79" t="str">
            <v>Ind &amp; Proc.</v>
          </cell>
          <cell r="H79" t="str">
            <v>NA</v>
          </cell>
        </row>
        <row r="80">
          <cell r="A80" t="str">
            <v>1231</v>
          </cell>
          <cell r="B80" t="str">
            <v>Ind &amp; Proc.</v>
          </cell>
          <cell r="C80" t="str">
            <v>NA</v>
          </cell>
          <cell r="F80" t="str">
            <v>1231</v>
          </cell>
          <cell r="G80" t="str">
            <v>Ind &amp; Proc.</v>
          </cell>
          <cell r="H80" t="str">
            <v>NA</v>
          </cell>
        </row>
        <row r="81">
          <cell r="A81" t="str">
            <v>1241</v>
          </cell>
          <cell r="B81" t="str">
            <v>Ind &amp; Proc.</v>
          </cell>
          <cell r="C81" t="str">
            <v>NA</v>
          </cell>
          <cell r="F81" t="str">
            <v>1241</v>
          </cell>
          <cell r="G81" t="str">
            <v>Ind &amp; Proc.</v>
          </cell>
          <cell r="H81" t="str">
            <v>NA</v>
          </cell>
        </row>
        <row r="82">
          <cell r="A82" t="str">
            <v>1311</v>
          </cell>
          <cell r="B82" t="str">
            <v>Ind &amp; Proc.</v>
          </cell>
          <cell r="C82" t="str">
            <v>NA</v>
          </cell>
          <cell r="F82" t="str">
            <v>1311</v>
          </cell>
          <cell r="G82" t="str">
            <v>Ind &amp; Proc.</v>
          </cell>
          <cell r="H82" t="str">
            <v>NA</v>
          </cell>
        </row>
        <row r="83">
          <cell r="A83" t="str">
            <v>1321</v>
          </cell>
          <cell r="B83" t="str">
            <v>Ind &amp; Proc.</v>
          </cell>
          <cell r="C83" t="str">
            <v>NA</v>
          </cell>
          <cell r="F83" t="str">
            <v>1321</v>
          </cell>
          <cell r="G83" t="str">
            <v>Ind &amp; Proc.</v>
          </cell>
          <cell r="H83" t="str">
            <v>NA</v>
          </cell>
        </row>
        <row r="84">
          <cell r="A84" t="str">
            <v>1381</v>
          </cell>
          <cell r="B84" t="str">
            <v>Ind &amp; Proc.</v>
          </cell>
          <cell r="C84" t="str">
            <v>NA</v>
          </cell>
          <cell r="F84" t="str">
            <v>1381</v>
          </cell>
          <cell r="G84" t="str">
            <v>Ind &amp; Proc.</v>
          </cell>
          <cell r="H84" t="str">
            <v>NA</v>
          </cell>
        </row>
        <row r="85">
          <cell r="A85" t="str">
            <v>1382</v>
          </cell>
          <cell r="B85" t="str">
            <v>Ind &amp; Proc.</v>
          </cell>
          <cell r="C85" t="str">
            <v>NA</v>
          </cell>
          <cell r="F85" t="str">
            <v>1382</v>
          </cell>
          <cell r="G85" t="str">
            <v>Ind &amp; Proc.</v>
          </cell>
          <cell r="H85" t="str">
            <v>NA</v>
          </cell>
        </row>
        <row r="86">
          <cell r="A86" t="str">
            <v>1389</v>
          </cell>
          <cell r="B86" t="str">
            <v>Ind &amp; Proc.</v>
          </cell>
          <cell r="C86" t="str">
            <v>NA</v>
          </cell>
          <cell r="F86" t="str">
            <v>1389</v>
          </cell>
          <cell r="G86" t="str">
            <v>Ind &amp; Proc.</v>
          </cell>
          <cell r="H86" t="str">
            <v>NA</v>
          </cell>
        </row>
        <row r="87">
          <cell r="A87" t="str">
            <v>1400</v>
          </cell>
          <cell r="B87" t="str">
            <v>Ind &amp; Proc.</v>
          </cell>
          <cell r="C87" t="str">
            <v>NA</v>
          </cell>
          <cell r="F87" t="str">
            <v>1400</v>
          </cell>
          <cell r="G87" t="str">
            <v>Ind &amp; Proc.</v>
          </cell>
          <cell r="H87" t="str">
            <v>NA</v>
          </cell>
        </row>
        <row r="88">
          <cell r="A88" t="str">
            <v>1411</v>
          </cell>
          <cell r="B88" t="str">
            <v>Ind &amp; Proc.</v>
          </cell>
          <cell r="C88" t="str">
            <v>NA</v>
          </cell>
          <cell r="F88" t="str">
            <v>1411</v>
          </cell>
          <cell r="G88" t="str">
            <v>Ind &amp; Proc.</v>
          </cell>
          <cell r="H88" t="str">
            <v>NA</v>
          </cell>
        </row>
        <row r="89">
          <cell r="A89" t="str">
            <v>1422</v>
          </cell>
          <cell r="B89" t="str">
            <v>Ind &amp; Proc.</v>
          </cell>
          <cell r="C89" t="str">
            <v>NA</v>
          </cell>
          <cell r="F89" t="str">
            <v>1422</v>
          </cell>
          <cell r="G89" t="str">
            <v>Ind &amp; Proc.</v>
          </cell>
          <cell r="H89" t="str">
            <v>NA</v>
          </cell>
        </row>
        <row r="90">
          <cell r="A90" t="str">
            <v>1423</v>
          </cell>
          <cell r="B90" t="str">
            <v>Ind &amp; Proc.</v>
          </cell>
          <cell r="C90" t="str">
            <v>NA</v>
          </cell>
          <cell r="F90" t="str">
            <v>1423</v>
          </cell>
          <cell r="G90" t="str">
            <v>Ind &amp; Proc.</v>
          </cell>
          <cell r="H90" t="str">
            <v>NA</v>
          </cell>
        </row>
        <row r="91">
          <cell r="A91" t="str">
            <v>1429</v>
          </cell>
          <cell r="B91" t="str">
            <v>Ind &amp; Proc.</v>
          </cell>
          <cell r="C91" t="str">
            <v>NA</v>
          </cell>
          <cell r="F91" t="str">
            <v>1429</v>
          </cell>
          <cell r="G91" t="str">
            <v>Ind &amp; Proc.</v>
          </cell>
          <cell r="H91" t="str">
            <v>NA</v>
          </cell>
        </row>
        <row r="92">
          <cell r="A92" t="str">
            <v>1442</v>
          </cell>
          <cell r="B92" t="str">
            <v>Ind &amp; Proc.</v>
          </cell>
          <cell r="C92" t="str">
            <v>NA</v>
          </cell>
          <cell r="F92" t="str">
            <v>1442</v>
          </cell>
          <cell r="G92" t="str">
            <v>Ind &amp; Proc.</v>
          </cell>
          <cell r="H92" t="str">
            <v>NA</v>
          </cell>
        </row>
        <row r="93">
          <cell r="A93" t="str">
            <v>1446</v>
          </cell>
          <cell r="B93" t="str">
            <v>Ind &amp; Proc.</v>
          </cell>
          <cell r="C93" t="str">
            <v>NA</v>
          </cell>
          <cell r="F93" t="str">
            <v>1446</v>
          </cell>
          <cell r="G93" t="str">
            <v>Ind &amp; Proc.</v>
          </cell>
          <cell r="H93" t="str">
            <v>NA</v>
          </cell>
        </row>
        <row r="94">
          <cell r="A94" t="str">
            <v>1455</v>
          </cell>
          <cell r="B94" t="str">
            <v>Ind &amp; Proc.</v>
          </cell>
          <cell r="C94" t="str">
            <v>NA</v>
          </cell>
          <cell r="F94" t="str">
            <v>1455</v>
          </cell>
          <cell r="G94" t="str">
            <v>Ind &amp; Proc.</v>
          </cell>
          <cell r="H94" t="str">
            <v>NA</v>
          </cell>
        </row>
        <row r="95">
          <cell r="A95" t="str">
            <v>1459</v>
          </cell>
          <cell r="B95" t="str">
            <v>Ind &amp; Proc.</v>
          </cell>
          <cell r="C95" t="str">
            <v>NA</v>
          </cell>
          <cell r="F95" t="str">
            <v>1459</v>
          </cell>
          <cell r="G95" t="str">
            <v>Ind &amp; Proc.</v>
          </cell>
          <cell r="H95" t="str">
            <v>NA</v>
          </cell>
        </row>
        <row r="96">
          <cell r="A96" t="str">
            <v>1474</v>
          </cell>
          <cell r="B96" t="str">
            <v>Ind &amp; Proc.</v>
          </cell>
          <cell r="C96" t="str">
            <v>NA</v>
          </cell>
          <cell r="F96" t="str">
            <v>1474</v>
          </cell>
          <cell r="G96" t="str">
            <v>Ind &amp; Proc.</v>
          </cell>
          <cell r="H96" t="str">
            <v>NA</v>
          </cell>
        </row>
        <row r="97">
          <cell r="A97" t="str">
            <v>1475</v>
          </cell>
          <cell r="B97" t="str">
            <v>Ind &amp; Proc.</v>
          </cell>
          <cell r="C97" t="str">
            <v>NA</v>
          </cell>
          <cell r="F97" t="str">
            <v>1475</v>
          </cell>
          <cell r="G97" t="str">
            <v>Ind &amp; Proc.</v>
          </cell>
          <cell r="H97" t="str">
            <v>NA</v>
          </cell>
        </row>
        <row r="98">
          <cell r="A98" t="str">
            <v>1479</v>
          </cell>
          <cell r="B98" t="str">
            <v>Ind &amp; Proc.</v>
          </cell>
          <cell r="C98" t="str">
            <v>NA</v>
          </cell>
          <cell r="F98" t="str">
            <v>1479</v>
          </cell>
          <cell r="G98" t="str">
            <v>Ind &amp; Proc.</v>
          </cell>
          <cell r="H98" t="str">
            <v>NA</v>
          </cell>
        </row>
        <row r="99">
          <cell r="A99" t="str">
            <v>1481</v>
          </cell>
          <cell r="B99" t="str">
            <v>Ind &amp; Proc.</v>
          </cell>
          <cell r="C99" t="str">
            <v>NA</v>
          </cell>
          <cell r="F99" t="str">
            <v>1481</v>
          </cell>
          <cell r="G99" t="str">
            <v>Ind &amp; Proc.</v>
          </cell>
          <cell r="H99" t="str">
            <v>NA</v>
          </cell>
        </row>
        <row r="100">
          <cell r="A100" t="str">
            <v>1499</v>
          </cell>
          <cell r="B100" t="str">
            <v>Ind &amp; Proc.</v>
          </cell>
          <cell r="C100" t="str">
            <v>NA</v>
          </cell>
          <cell r="F100" t="str">
            <v>1499</v>
          </cell>
          <cell r="G100" t="str">
            <v>Ind &amp; Proc.</v>
          </cell>
          <cell r="H100" t="str">
            <v>NA</v>
          </cell>
        </row>
        <row r="101">
          <cell r="A101" t="str">
            <v>1521</v>
          </cell>
          <cell r="B101" t="str">
            <v>Contractors</v>
          </cell>
          <cell r="C101" t="str">
            <v>NA</v>
          </cell>
          <cell r="F101" t="str">
            <v>1521</v>
          </cell>
          <cell r="G101" t="str">
            <v>Contractors</v>
          </cell>
          <cell r="H101" t="str">
            <v>NA</v>
          </cell>
        </row>
        <row r="102">
          <cell r="A102" t="str">
            <v>1522</v>
          </cell>
          <cell r="B102" t="str">
            <v>Contractors</v>
          </cell>
          <cell r="C102" t="str">
            <v>NA</v>
          </cell>
          <cell r="F102" t="str">
            <v>1522</v>
          </cell>
          <cell r="G102" t="str">
            <v>Contractors</v>
          </cell>
          <cell r="H102" t="str">
            <v>NA</v>
          </cell>
        </row>
        <row r="103">
          <cell r="A103" t="str">
            <v>1531</v>
          </cell>
          <cell r="B103" t="str">
            <v>Contractors</v>
          </cell>
          <cell r="C103" t="str">
            <v>NA</v>
          </cell>
          <cell r="F103" t="str">
            <v>1531</v>
          </cell>
          <cell r="G103" t="str">
            <v>Contractors</v>
          </cell>
          <cell r="H103" t="str">
            <v>NA</v>
          </cell>
        </row>
        <row r="104">
          <cell r="A104" t="str">
            <v>1541</v>
          </cell>
          <cell r="B104" t="str">
            <v>Contractors</v>
          </cell>
          <cell r="C104" t="str">
            <v>NA</v>
          </cell>
          <cell r="F104" t="str">
            <v>1541</v>
          </cell>
          <cell r="G104" t="str">
            <v>Contractors</v>
          </cell>
          <cell r="H104" t="str">
            <v>NA</v>
          </cell>
        </row>
        <row r="105">
          <cell r="A105" t="str">
            <v>1542</v>
          </cell>
          <cell r="B105" t="str">
            <v>Contractors</v>
          </cell>
          <cell r="C105" t="str">
            <v>NA</v>
          </cell>
          <cell r="F105" t="str">
            <v>1542</v>
          </cell>
          <cell r="G105" t="str">
            <v>Contractors</v>
          </cell>
          <cell r="H105" t="str">
            <v>NA</v>
          </cell>
        </row>
        <row r="106">
          <cell r="A106" t="str">
            <v>1611</v>
          </cell>
          <cell r="B106" t="str">
            <v>Contractors</v>
          </cell>
          <cell r="C106" t="str">
            <v>NA</v>
          </cell>
          <cell r="F106" t="str">
            <v>1611</v>
          </cell>
          <cell r="G106" t="str">
            <v>Contractors</v>
          </cell>
          <cell r="H106" t="str">
            <v>NA</v>
          </cell>
        </row>
        <row r="107">
          <cell r="A107" t="str">
            <v>1622</v>
          </cell>
          <cell r="B107" t="str">
            <v>Contractors</v>
          </cell>
          <cell r="C107" t="str">
            <v>NA</v>
          </cell>
          <cell r="F107" t="str">
            <v>1622</v>
          </cell>
          <cell r="G107" t="str">
            <v>Contractors</v>
          </cell>
          <cell r="H107" t="str">
            <v>NA</v>
          </cell>
        </row>
        <row r="108">
          <cell r="A108" t="str">
            <v>1623</v>
          </cell>
          <cell r="B108" t="str">
            <v>Contractors</v>
          </cell>
          <cell r="C108" t="str">
            <v>NA</v>
          </cell>
          <cell r="F108" t="str">
            <v>1623</v>
          </cell>
          <cell r="G108" t="str">
            <v>Contractors</v>
          </cell>
          <cell r="H108" t="str">
            <v>NA</v>
          </cell>
        </row>
        <row r="109">
          <cell r="A109" t="str">
            <v>1629</v>
          </cell>
          <cell r="B109" t="str">
            <v>Contractors</v>
          </cell>
          <cell r="C109" t="str">
            <v>NA</v>
          </cell>
          <cell r="F109" t="str">
            <v>1629</v>
          </cell>
          <cell r="G109" t="str">
            <v>Contractors</v>
          </cell>
          <cell r="H109" t="str">
            <v>NA</v>
          </cell>
        </row>
        <row r="110">
          <cell r="A110" t="str">
            <v>1711</v>
          </cell>
          <cell r="B110" t="str">
            <v>Contractors</v>
          </cell>
          <cell r="C110" t="str">
            <v>NA</v>
          </cell>
          <cell r="F110" t="str">
            <v>1711</v>
          </cell>
          <cell r="G110" t="str">
            <v>Contractors</v>
          </cell>
          <cell r="H110" t="str">
            <v>NA</v>
          </cell>
        </row>
        <row r="111">
          <cell r="A111" t="str">
            <v>1721</v>
          </cell>
          <cell r="B111" t="str">
            <v>Contractors</v>
          </cell>
          <cell r="C111" t="str">
            <v>NA</v>
          </cell>
          <cell r="F111" t="str">
            <v>1721</v>
          </cell>
          <cell r="G111" t="str">
            <v>Contractors</v>
          </cell>
          <cell r="H111" t="str">
            <v>NA</v>
          </cell>
        </row>
        <row r="112">
          <cell r="A112" t="str">
            <v>1731</v>
          </cell>
          <cell r="B112" t="str">
            <v>Contractors</v>
          </cell>
          <cell r="C112" t="str">
            <v>NA</v>
          </cell>
          <cell r="F112" t="str">
            <v>1731</v>
          </cell>
          <cell r="G112" t="str">
            <v>Contractors</v>
          </cell>
          <cell r="H112" t="str">
            <v>NA</v>
          </cell>
        </row>
        <row r="113">
          <cell r="A113" t="str">
            <v>1741</v>
          </cell>
          <cell r="B113" t="str">
            <v>Contractors</v>
          </cell>
          <cell r="C113" t="str">
            <v>NA</v>
          </cell>
          <cell r="F113" t="str">
            <v>1741</v>
          </cell>
          <cell r="G113" t="str">
            <v>Contractors</v>
          </cell>
          <cell r="H113" t="str">
            <v>NA</v>
          </cell>
        </row>
        <row r="114">
          <cell r="A114" t="str">
            <v>1742</v>
          </cell>
          <cell r="B114" t="str">
            <v>Contractors</v>
          </cell>
          <cell r="C114" t="str">
            <v>NA</v>
          </cell>
          <cell r="F114" t="str">
            <v>1742</v>
          </cell>
          <cell r="G114" t="str">
            <v>Contractors</v>
          </cell>
          <cell r="H114" t="str">
            <v>NA</v>
          </cell>
        </row>
        <row r="115">
          <cell r="A115" t="str">
            <v>1743</v>
          </cell>
          <cell r="B115" t="str">
            <v>Contractors</v>
          </cell>
          <cell r="C115" t="str">
            <v>NA</v>
          </cell>
          <cell r="F115" t="str">
            <v>1743</v>
          </cell>
          <cell r="G115" t="str">
            <v>Contractors</v>
          </cell>
          <cell r="H115" t="str">
            <v>NA</v>
          </cell>
        </row>
        <row r="116">
          <cell r="A116" t="str">
            <v>1751</v>
          </cell>
          <cell r="B116" t="str">
            <v>Contractors</v>
          </cell>
          <cell r="C116" t="str">
            <v>NA</v>
          </cell>
          <cell r="F116" t="str">
            <v>1751</v>
          </cell>
          <cell r="G116" t="str">
            <v>Contractors</v>
          </cell>
          <cell r="H116" t="str">
            <v>NA</v>
          </cell>
        </row>
        <row r="117">
          <cell r="A117" t="str">
            <v>1752</v>
          </cell>
          <cell r="B117" t="str">
            <v>Contractors</v>
          </cell>
          <cell r="C117" t="str">
            <v>NA</v>
          </cell>
          <cell r="F117" t="str">
            <v>1752</v>
          </cell>
          <cell r="G117" t="str">
            <v>Contractors</v>
          </cell>
          <cell r="H117" t="str">
            <v>NA</v>
          </cell>
        </row>
        <row r="118">
          <cell r="A118" t="str">
            <v>1761</v>
          </cell>
          <cell r="B118" t="str">
            <v>Contractors</v>
          </cell>
          <cell r="C118" t="str">
            <v>NA</v>
          </cell>
          <cell r="F118" t="str">
            <v>1761</v>
          </cell>
          <cell r="G118" t="str">
            <v>Contractors</v>
          </cell>
          <cell r="H118" t="str">
            <v>NA</v>
          </cell>
        </row>
        <row r="119">
          <cell r="A119" t="str">
            <v>1771</v>
          </cell>
          <cell r="B119" t="str">
            <v>Contractors</v>
          </cell>
          <cell r="C119" t="str">
            <v>NA</v>
          </cell>
          <cell r="F119" t="str">
            <v>1771</v>
          </cell>
          <cell r="G119" t="str">
            <v>Contractors</v>
          </cell>
          <cell r="H119" t="str">
            <v>NA</v>
          </cell>
        </row>
        <row r="120">
          <cell r="A120" t="str">
            <v>1781</v>
          </cell>
          <cell r="B120" t="str">
            <v>Contractors</v>
          </cell>
          <cell r="C120" t="str">
            <v>NA</v>
          </cell>
          <cell r="F120" t="str">
            <v>1781</v>
          </cell>
          <cell r="G120" t="str">
            <v>Contractors</v>
          </cell>
          <cell r="H120" t="str">
            <v>NA</v>
          </cell>
        </row>
        <row r="121">
          <cell r="A121" t="str">
            <v>1791</v>
          </cell>
          <cell r="B121" t="str">
            <v>Contractors</v>
          </cell>
          <cell r="C121" t="str">
            <v>NA</v>
          </cell>
          <cell r="F121" t="str">
            <v>1791</v>
          </cell>
          <cell r="G121" t="str">
            <v>Contractors</v>
          </cell>
          <cell r="H121" t="str">
            <v>NA</v>
          </cell>
        </row>
        <row r="122">
          <cell r="A122" t="str">
            <v>1793</v>
          </cell>
          <cell r="B122" t="str">
            <v>Contractors</v>
          </cell>
          <cell r="C122" t="str">
            <v>NA</v>
          </cell>
          <cell r="F122" t="str">
            <v>1793</v>
          </cell>
          <cell r="G122" t="str">
            <v>Contractors</v>
          </cell>
          <cell r="H122" t="str">
            <v>NA</v>
          </cell>
        </row>
        <row r="123">
          <cell r="A123" t="str">
            <v>1794</v>
          </cell>
          <cell r="B123" t="str">
            <v>Contractors</v>
          </cell>
          <cell r="C123" t="str">
            <v>NA</v>
          </cell>
          <cell r="F123" t="str">
            <v>1794</v>
          </cell>
          <cell r="G123" t="str">
            <v>Contractors</v>
          </cell>
          <cell r="H123" t="str">
            <v>NA</v>
          </cell>
        </row>
        <row r="124">
          <cell r="A124" t="str">
            <v>1795</v>
          </cell>
          <cell r="B124" t="str">
            <v>Contractors</v>
          </cell>
          <cell r="C124" t="str">
            <v>NA</v>
          </cell>
          <cell r="F124" t="str">
            <v>1795</v>
          </cell>
          <cell r="G124" t="str">
            <v>Contractors</v>
          </cell>
          <cell r="H124" t="str">
            <v>NA</v>
          </cell>
        </row>
        <row r="125">
          <cell r="A125" t="str">
            <v>1796</v>
          </cell>
          <cell r="B125" t="str">
            <v>Contractors</v>
          </cell>
          <cell r="C125" t="str">
            <v>NA</v>
          </cell>
          <cell r="F125" t="str">
            <v>1796</v>
          </cell>
          <cell r="G125" t="str">
            <v>Contractors</v>
          </cell>
          <cell r="H125" t="str">
            <v>NA</v>
          </cell>
        </row>
        <row r="126">
          <cell r="A126" t="str">
            <v>1799</v>
          </cell>
          <cell r="B126" t="str">
            <v>Contractors</v>
          </cell>
          <cell r="C126" t="str">
            <v>NA</v>
          </cell>
          <cell r="F126" t="str">
            <v>1799</v>
          </cell>
          <cell r="G126" t="str">
            <v>Contractors</v>
          </cell>
          <cell r="H126" t="str">
            <v>NA</v>
          </cell>
        </row>
        <row r="127">
          <cell r="A127" t="str">
            <v>2011</v>
          </cell>
          <cell r="B127" t="str">
            <v>Manufacturing</v>
          </cell>
          <cell r="C127" t="str">
            <v>NA</v>
          </cell>
          <cell r="F127" t="str">
            <v>2011</v>
          </cell>
          <cell r="G127" t="str">
            <v>Manufacturing</v>
          </cell>
          <cell r="H127" t="str">
            <v>NA</v>
          </cell>
        </row>
        <row r="128">
          <cell r="A128" t="str">
            <v>2013</v>
          </cell>
          <cell r="B128" t="str">
            <v>Manufacturing</v>
          </cell>
          <cell r="C128" t="str">
            <v>NA</v>
          </cell>
          <cell r="F128" t="str">
            <v>2013</v>
          </cell>
          <cell r="G128" t="str">
            <v>Manufacturing</v>
          </cell>
          <cell r="H128" t="str">
            <v>NA</v>
          </cell>
        </row>
        <row r="129">
          <cell r="A129" t="str">
            <v>2015</v>
          </cell>
          <cell r="B129" t="str">
            <v>Manufacturing</v>
          </cell>
          <cell r="C129" t="str">
            <v>NA</v>
          </cell>
          <cell r="F129" t="str">
            <v>2015</v>
          </cell>
          <cell r="G129" t="str">
            <v>Manufacturing</v>
          </cell>
          <cell r="H129" t="str">
            <v>NA</v>
          </cell>
        </row>
        <row r="130">
          <cell r="A130" t="str">
            <v>2021</v>
          </cell>
          <cell r="B130" t="str">
            <v>Manufacturing</v>
          </cell>
          <cell r="C130" t="str">
            <v>NA</v>
          </cell>
          <cell r="F130" t="str">
            <v>2021</v>
          </cell>
          <cell r="G130" t="str">
            <v>Manufacturing</v>
          </cell>
          <cell r="H130" t="str">
            <v>NA</v>
          </cell>
        </row>
        <row r="131">
          <cell r="A131" t="str">
            <v>2022</v>
          </cell>
          <cell r="B131" t="str">
            <v>Manufacturing</v>
          </cell>
          <cell r="C131" t="str">
            <v>NA</v>
          </cell>
          <cell r="F131" t="str">
            <v>2022</v>
          </cell>
          <cell r="G131" t="str">
            <v>Manufacturing</v>
          </cell>
          <cell r="H131" t="str">
            <v>NA</v>
          </cell>
        </row>
        <row r="132">
          <cell r="A132" t="str">
            <v>2023</v>
          </cell>
          <cell r="B132" t="str">
            <v>Manufacturing</v>
          </cell>
          <cell r="C132" t="str">
            <v>NA</v>
          </cell>
          <cell r="F132" t="str">
            <v>2023</v>
          </cell>
          <cell r="G132" t="str">
            <v>Manufacturing</v>
          </cell>
          <cell r="H132" t="str">
            <v>NA</v>
          </cell>
        </row>
        <row r="133">
          <cell r="A133" t="str">
            <v>2024</v>
          </cell>
          <cell r="B133" t="str">
            <v>Manufacturing</v>
          </cell>
          <cell r="C133" t="str">
            <v>NA</v>
          </cell>
          <cell r="F133" t="str">
            <v>2024</v>
          </cell>
          <cell r="G133" t="str">
            <v>Manufacturing</v>
          </cell>
          <cell r="H133" t="str">
            <v>NA</v>
          </cell>
        </row>
        <row r="134">
          <cell r="A134" t="str">
            <v>2026</v>
          </cell>
          <cell r="B134" t="str">
            <v>Manufacturing</v>
          </cell>
          <cell r="C134" t="str">
            <v>NA</v>
          </cell>
          <cell r="F134" t="str">
            <v>2026</v>
          </cell>
          <cell r="G134" t="str">
            <v>Manufacturing</v>
          </cell>
          <cell r="H134" t="str">
            <v>NA</v>
          </cell>
        </row>
        <row r="135">
          <cell r="A135" t="str">
            <v>2032</v>
          </cell>
          <cell r="B135" t="str">
            <v>Manufacturing</v>
          </cell>
          <cell r="C135" t="str">
            <v>NA</v>
          </cell>
          <cell r="F135" t="str">
            <v>2032</v>
          </cell>
          <cell r="G135" t="str">
            <v>Manufacturing</v>
          </cell>
          <cell r="H135" t="str">
            <v>NA</v>
          </cell>
        </row>
        <row r="136">
          <cell r="A136" t="str">
            <v>2033</v>
          </cell>
          <cell r="B136" t="str">
            <v>Manufacturing</v>
          </cell>
          <cell r="C136" t="str">
            <v>NA</v>
          </cell>
          <cell r="F136" t="str">
            <v>2033</v>
          </cell>
          <cell r="G136" t="str">
            <v>Manufacturing</v>
          </cell>
          <cell r="H136" t="str">
            <v>NA</v>
          </cell>
        </row>
        <row r="137">
          <cell r="A137" t="str">
            <v>2034</v>
          </cell>
          <cell r="B137" t="str">
            <v>Manufacturing</v>
          </cell>
          <cell r="C137" t="str">
            <v>NA</v>
          </cell>
          <cell r="F137" t="str">
            <v>2034</v>
          </cell>
          <cell r="G137" t="str">
            <v>Manufacturing</v>
          </cell>
          <cell r="H137" t="str">
            <v>NA</v>
          </cell>
        </row>
        <row r="138">
          <cell r="A138" t="str">
            <v>2035</v>
          </cell>
          <cell r="B138" t="str">
            <v>Manufacturing</v>
          </cell>
          <cell r="C138" t="str">
            <v>NA</v>
          </cell>
          <cell r="F138" t="str">
            <v>2035</v>
          </cell>
          <cell r="G138" t="str">
            <v>Manufacturing</v>
          </cell>
          <cell r="H138" t="str">
            <v>NA</v>
          </cell>
        </row>
        <row r="139">
          <cell r="A139" t="str">
            <v>2037</v>
          </cell>
          <cell r="B139" t="str">
            <v>Manufacturing</v>
          </cell>
          <cell r="C139" t="str">
            <v>NA</v>
          </cell>
          <cell r="F139" t="str">
            <v>2037</v>
          </cell>
          <cell r="G139" t="str">
            <v>Manufacturing</v>
          </cell>
          <cell r="H139" t="str">
            <v>NA</v>
          </cell>
        </row>
        <row r="140">
          <cell r="A140" t="str">
            <v>2038</v>
          </cell>
          <cell r="B140" t="str">
            <v>Manufacturing</v>
          </cell>
          <cell r="C140" t="str">
            <v>NA</v>
          </cell>
          <cell r="F140" t="str">
            <v>2038</v>
          </cell>
          <cell r="G140" t="str">
            <v>Manufacturing</v>
          </cell>
          <cell r="H140" t="str">
            <v>NA</v>
          </cell>
        </row>
        <row r="141">
          <cell r="A141" t="str">
            <v>2041</v>
          </cell>
          <cell r="B141" t="str">
            <v>Manufacturing</v>
          </cell>
          <cell r="C141" t="str">
            <v>NA</v>
          </cell>
          <cell r="F141" t="str">
            <v>2041</v>
          </cell>
          <cell r="G141" t="str">
            <v>Manufacturing</v>
          </cell>
          <cell r="H141" t="str">
            <v>NA</v>
          </cell>
        </row>
        <row r="142">
          <cell r="A142" t="str">
            <v>2043</v>
          </cell>
          <cell r="B142" t="str">
            <v>Manufacturing</v>
          </cell>
          <cell r="C142" t="str">
            <v>NA</v>
          </cell>
          <cell r="F142" t="str">
            <v>2043</v>
          </cell>
          <cell r="G142" t="str">
            <v>Manufacturing</v>
          </cell>
          <cell r="H142" t="str">
            <v>NA</v>
          </cell>
        </row>
        <row r="143">
          <cell r="A143" t="str">
            <v>2044</v>
          </cell>
          <cell r="B143" t="str">
            <v>Manufacturing</v>
          </cell>
          <cell r="C143" t="str">
            <v>NA</v>
          </cell>
          <cell r="F143" t="str">
            <v>2044</v>
          </cell>
          <cell r="G143" t="str">
            <v>Manufacturing</v>
          </cell>
          <cell r="H143" t="str">
            <v>NA</v>
          </cell>
        </row>
        <row r="144">
          <cell r="A144" t="str">
            <v>2045</v>
          </cell>
          <cell r="B144" t="str">
            <v>Manufacturing</v>
          </cell>
          <cell r="C144" t="str">
            <v>NA</v>
          </cell>
          <cell r="F144" t="str">
            <v>2045</v>
          </cell>
          <cell r="G144" t="str">
            <v>Manufacturing</v>
          </cell>
          <cell r="H144" t="str">
            <v>NA</v>
          </cell>
        </row>
        <row r="145">
          <cell r="A145" t="str">
            <v>2046</v>
          </cell>
          <cell r="B145" t="str">
            <v>Manufacturing</v>
          </cell>
          <cell r="C145" t="str">
            <v>NA</v>
          </cell>
          <cell r="F145" t="str">
            <v>2046</v>
          </cell>
          <cell r="G145" t="str">
            <v>Manufacturing</v>
          </cell>
          <cell r="H145" t="str">
            <v>NA</v>
          </cell>
        </row>
        <row r="146">
          <cell r="A146" t="str">
            <v>2047</v>
          </cell>
          <cell r="B146" t="str">
            <v>Manufacturing</v>
          </cell>
          <cell r="C146" t="str">
            <v>NA</v>
          </cell>
          <cell r="F146" t="str">
            <v>2047</v>
          </cell>
          <cell r="G146" t="str">
            <v>Manufacturing</v>
          </cell>
          <cell r="H146" t="str">
            <v>NA</v>
          </cell>
        </row>
        <row r="147">
          <cell r="A147" t="str">
            <v>2048</v>
          </cell>
          <cell r="B147" t="str">
            <v>Manufacturing</v>
          </cell>
          <cell r="C147" t="str">
            <v>NA</v>
          </cell>
          <cell r="F147" t="str">
            <v>2048</v>
          </cell>
          <cell r="G147" t="str">
            <v>Manufacturing</v>
          </cell>
          <cell r="H147" t="str">
            <v>NA</v>
          </cell>
        </row>
        <row r="148">
          <cell r="A148" t="str">
            <v>2051</v>
          </cell>
          <cell r="B148" t="str">
            <v>Manufacturing</v>
          </cell>
          <cell r="C148" t="str">
            <v>NA</v>
          </cell>
          <cell r="F148" t="str">
            <v>2051</v>
          </cell>
          <cell r="G148" t="str">
            <v>Manufacturing</v>
          </cell>
          <cell r="H148" t="str">
            <v>NA</v>
          </cell>
        </row>
        <row r="149">
          <cell r="A149" t="str">
            <v>2052</v>
          </cell>
          <cell r="B149" t="str">
            <v>Manufacturing</v>
          </cell>
          <cell r="C149" t="str">
            <v>NA</v>
          </cell>
          <cell r="F149" t="str">
            <v>2052</v>
          </cell>
          <cell r="G149" t="str">
            <v>Manufacturing</v>
          </cell>
          <cell r="H149" t="str">
            <v>NA</v>
          </cell>
        </row>
        <row r="150">
          <cell r="A150" t="str">
            <v>2053</v>
          </cell>
          <cell r="B150" t="str">
            <v>Manufacturing</v>
          </cell>
          <cell r="C150" t="str">
            <v>NA</v>
          </cell>
          <cell r="F150" t="str">
            <v>2053</v>
          </cell>
          <cell r="G150" t="str">
            <v>Manufacturing</v>
          </cell>
          <cell r="H150" t="str">
            <v>NA</v>
          </cell>
        </row>
        <row r="151">
          <cell r="A151" t="str">
            <v>2061</v>
          </cell>
          <cell r="B151" t="str">
            <v>Manufacturing</v>
          </cell>
          <cell r="C151" t="str">
            <v>NA</v>
          </cell>
          <cell r="F151" t="str">
            <v>2061</v>
          </cell>
          <cell r="G151" t="str">
            <v>Manufacturing</v>
          </cell>
          <cell r="H151" t="str">
            <v>NA</v>
          </cell>
        </row>
        <row r="152">
          <cell r="A152" t="str">
            <v>2062</v>
          </cell>
          <cell r="B152" t="str">
            <v>Manufacturing</v>
          </cell>
          <cell r="C152" t="str">
            <v>NA</v>
          </cell>
          <cell r="F152" t="str">
            <v>2062</v>
          </cell>
          <cell r="G152" t="str">
            <v>Manufacturing</v>
          </cell>
          <cell r="H152" t="str">
            <v>NA</v>
          </cell>
        </row>
        <row r="153">
          <cell r="A153" t="str">
            <v>2063</v>
          </cell>
          <cell r="B153" t="str">
            <v>Manufacturing</v>
          </cell>
          <cell r="C153" t="str">
            <v>NA</v>
          </cell>
          <cell r="F153" t="str">
            <v>2063</v>
          </cell>
          <cell r="G153" t="str">
            <v>Manufacturing</v>
          </cell>
          <cell r="H153" t="str">
            <v>NA</v>
          </cell>
        </row>
        <row r="154">
          <cell r="A154" t="str">
            <v>2064</v>
          </cell>
          <cell r="B154" t="str">
            <v>Manufacturing</v>
          </cell>
          <cell r="C154" t="str">
            <v>NA</v>
          </cell>
          <cell r="F154" t="str">
            <v>2064</v>
          </cell>
          <cell r="G154" t="str">
            <v>Manufacturing</v>
          </cell>
          <cell r="H154" t="str">
            <v>NA</v>
          </cell>
        </row>
        <row r="155">
          <cell r="A155" t="str">
            <v>2066</v>
          </cell>
          <cell r="B155" t="str">
            <v>Manufacturing</v>
          </cell>
          <cell r="C155" t="str">
            <v>NA</v>
          </cell>
          <cell r="F155" t="str">
            <v>2066</v>
          </cell>
          <cell r="G155" t="str">
            <v>Manufacturing</v>
          </cell>
          <cell r="H155" t="str">
            <v>NA</v>
          </cell>
        </row>
        <row r="156">
          <cell r="A156" t="str">
            <v>2067</v>
          </cell>
          <cell r="B156" t="str">
            <v>Manufacturing</v>
          </cell>
          <cell r="C156" t="str">
            <v>NA</v>
          </cell>
          <cell r="F156" t="str">
            <v>2067</v>
          </cell>
          <cell r="G156" t="str">
            <v>Manufacturing</v>
          </cell>
          <cell r="H156" t="str">
            <v>NA</v>
          </cell>
        </row>
        <row r="157">
          <cell r="A157" t="str">
            <v>2068</v>
          </cell>
          <cell r="B157" t="str">
            <v>Manufacturing</v>
          </cell>
          <cell r="C157" t="str">
            <v>NA</v>
          </cell>
          <cell r="F157" t="str">
            <v>2068</v>
          </cell>
          <cell r="G157" t="str">
            <v>Manufacturing</v>
          </cell>
          <cell r="H157" t="str">
            <v>NA</v>
          </cell>
        </row>
        <row r="158">
          <cell r="A158" t="str">
            <v>2074</v>
          </cell>
          <cell r="B158" t="str">
            <v>Manufacturing</v>
          </cell>
          <cell r="C158" t="str">
            <v>NA</v>
          </cell>
          <cell r="F158" t="str">
            <v>2074</v>
          </cell>
          <cell r="G158" t="str">
            <v>Manufacturing</v>
          </cell>
          <cell r="H158" t="str">
            <v>NA</v>
          </cell>
        </row>
        <row r="159">
          <cell r="A159" t="str">
            <v>2075</v>
          </cell>
          <cell r="B159" t="str">
            <v>Manufacturing</v>
          </cell>
          <cell r="C159" t="str">
            <v>NA</v>
          </cell>
          <cell r="F159" t="str">
            <v>2075</v>
          </cell>
          <cell r="G159" t="str">
            <v>Manufacturing</v>
          </cell>
          <cell r="H159" t="str">
            <v>NA</v>
          </cell>
        </row>
        <row r="160">
          <cell r="A160" t="str">
            <v>2076</v>
          </cell>
          <cell r="B160" t="str">
            <v>Manufacturing</v>
          </cell>
          <cell r="C160" t="str">
            <v>NA</v>
          </cell>
          <cell r="F160" t="str">
            <v>2076</v>
          </cell>
          <cell r="G160" t="str">
            <v>Manufacturing</v>
          </cell>
          <cell r="H160" t="str">
            <v>NA</v>
          </cell>
        </row>
        <row r="161">
          <cell r="A161" t="str">
            <v>2077</v>
          </cell>
          <cell r="B161" t="str">
            <v>Manufacturing</v>
          </cell>
          <cell r="C161" t="str">
            <v>NA</v>
          </cell>
          <cell r="F161" t="str">
            <v>2077</v>
          </cell>
          <cell r="G161" t="str">
            <v>Manufacturing</v>
          </cell>
          <cell r="H161" t="str">
            <v>NA</v>
          </cell>
        </row>
        <row r="162">
          <cell r="A162" t="str">
            <v>2079</v>
          </cell>
          <cell r="B162" t="str">
            <v>Manufacturing</v>
          </cell>
          <cell r="C162" t="str">
            <v>NA</v>
          </cell>
          <cell r="F162" t="str">
            <v>2079</v>
          </cell>
          <cell r="G162" t="str">
            <v>Manufacturing</v>
          </cell>
          <cell r="H162" t="str">
            <v>NA</v>
          </cell>
        </row>
        <row r="163">
          <cell r="A163" t="str">
            <v>2082</v>
          </cell>
          <cell r="B163" t="str">
            <v>Manufacturing</v>
          </cell>
          <cell r="C163" t="str">
            <v>NA</v>
          </cell>
          <cell r="F163" t="str">
            <v>2082</v>
          </cell>
          <cell r="G163" t="str">
            <v>Manufacturing</v>
          </cell>
          <cell r="H163" t="str">
            <v>NA</v>
          </cell>
        </row>
        <row r="164">
          <cell r="A164" t="str">
            <v>2083</v>
          </cell>
          <cell r="B164" t="str">
            <v>Manufacturing</v>
          </cell>
          <cell r="C164" t="str">
            <v>NA</v>
          </cell>
          <cell r="F164" t="str">
            <v>2083</v>
          </cell>
          <cell r="G164" t="str">
            <v>Manufacturing</v>
          </cell>
          <cell r="H164" t="str">
            <v>NA</v>
          </cell>
        </row>
        <row r="165">
          <cell r="A165" t="str">
            <v>2084</v>
          </cell>
          <cell r="B165" t="str">
            <v>Manufacturing</v>
          </cell>
          <cell r="C165" t="str">
            <v>NA</v>
          </cell>
          <cell r="F165" t="str">
            <v>2084</v>
          </cell>
          <cell r="G165" t="str">
            <v>Manufacturing</v>
          </cell>
          <cell r="H165" t="str">
            <v>NA</v>
          </cell>
        </row>
        <row r="166">
          <cell r="A166" t="str">
            <v>2085</v>
          </cell>
          <cell r="B166" t="str">
            <v>Manufacturing</v>
          </cell>
          <cell r="C166" t="str">
            <v>NA</v>
          </cell>
          <cell r="F166" t="str">
            <v>2085</v>
          </cell>
          <cell r="G166" t="str">
            <v>Manufacturing</v>
          </cell>
          <cell r="H166" t="str">
            <v>NA</v>
          </cell>
        </row>
        <row r="167">
          <cell r="A167" t="str">
            <v>2086</v>
          </cell>
          <cell r="B167" t="str">
            <v>Manufacturing</v>
          </cell>
          <cell r="C167" t="str">
            <v>NA</v>
          </cell>
          <cell r="F167" t="str">
            <v>2086</v>
          </cell>
          <cell r="G167" t="str">
            <v>Manufacturing</v>
          </cell>
          <cell r="H167" t="str">
            <v>NA</v>
          </cell>
        </row>
        <row r="168">
          <cell r="A168" t="str">
            <v>2087</v>
          </cell>
          <cell r="B168" t="str">
            <v>Manufacturing</v>
          </cell>
          <cell r="C168" t="str">
            <v>NA</v>
          </cell>
          <cell r="F168" t="str">
            <v>2087</v>
          </cell>
          <cell r="G168" t="str">
            <v>Manufacturing</v>
          </cell>
          <cell r="H168" t="str">
            <v>NA</v>
          </cell>
        </row>
        <row r="169">
          <cell r="A169" t="str">
            <v>2091</v>
          </cell>
          <cell r="B169" t="str">
            <v>Manufacturing</v>
          </cell>
          <cell r="C169" t="str">
            <v>NA</v>
          </cell>
          <cell r="F169" t="str">
            <v>2091</v>
          </cell>
          <cell r="G169" t="str">
            <v>Manufacturing</v>
          </cell>
          <cell r="H169" t="str">
            <v>NA</v>
          </cell>
        </row>
        <row r="170">
          <cell r="A170" t="str">
            <v>2092</v>
          </cell>
          <cell r="B170" t="str">
            <v>Manufacturing</v>
          </cell>
          <cell r="C170" t="str">
            <v>NA</v>
          </cell>
          <cell r="F170" t="str">
            <v>2092</v>
          </cell>
          <cell r="G170" t="str">
            <v>Manufacturing</v>
          </cell>
          <cell r="H170" t="str">
            <v>NA</v>
          </cell>
        </row>
        <row r="171">
          <cell r="A171" t="str">
            <v>2095</v>
          </cell>
          <cell r="B171" t="str">
            <v>Manufacturing</v>
          </cell>
          <cell r="C171" t="str">
            <v>NA</v>
          </cell>
          <cell r="F171" t="str">
            <v>2095</v>
          </cell>
          <cell r="G171" t="str">
            <v>Manufacturing</v>
          </cell>
          <cell r="H171" t="str">
            <v>NA</v>
          </cell>
        </row>
        <row r="172">
          <cell r="A172" t="str">
            <v>2096</v>
          </cell>
          <cell r="B172" t="str">
            <v>Manufacturing</v>
          </cell>
          <cell r="C172" t="str">
            <v>NA</v>
          </cell>
          <cell r="F172" t="str">
            <v>2096</v>
          </cell>
          <cell r="G172" t="str">
            <v>Manufacturing</v>
          </cell>
          <cell r="H172" t="str">
            <v>NA</v>
          </cell>
        </row>
        <row r="173">
          <cell r="A173" t="str">
            <v>2097</v>
          </cell>
          <cell r="B173" t="str">
            <v>Manufacturing</v>
          </cell>
          <cell r="C173" t="str">
            <v>NA</v>
          </cell>
          <cell r="F173" t="str">
            <v>2097</v>
          </cell>
          <cell r="G173" t="str">
            <v>Manufacturing</v>
          </cell>
          <cell r="H173" t="str">
            <v>NA</v>
          </cell>
        </row>
        <row r="174">
          <cell r="A174" t="str">
            <v>2098</v>
          </cell>
          <cell r="B174" t="str">
            <v>Manufacturing</v>
          </cell>
          <cell r="C174" t="str">
            <v>NA</v>
          </cell>
          <cell r="F174" t="str">
            <v>2098</v>
          </cell>
          <cell r="G174" t="str">
            <v>Manufacturing</v>
          </cell>
          <cell r="H174" t="str">
            <v>NA</v>
          </cell>
        </row>
        <row r="175">
          <cell r="A175" t="str">
            <v>2099</v>
          </cell>
          <cell r="B175" t="str">
            <v>Manufacturing</v>
          </cell>
          <cell r="C175" t="str">
            <v>NA</v>
          </cell>
          <cell r="F175" t="str">
            <v>2099</v>
          </cell>
          <cell r="G175" t="str">
            <v>Manufacturing</v>
          </cell>
          <cell r="H175" t="str">
            <v>NA</v>
          </cell>
        </row>
        <row r="176">
          <cell r="A176" t="str">
            <v>2111</v>
          </cell>
          <cell r="B176" t="str">
            <v>Manufacturing</v>
          </cell>
          <cell r="C176" t="str">
            <v>NA</v>
          </cell>
          <cell r="F176" t="str">
            <v>2111</v>
          </cell>
          <cell r="G176" t="str">
            <v>Manufacturing</v>
          </cell>
          <cell r="H176" t="str">
            <v>NA</v>
          </cell>
        </row>
        <row r="177">
          <cell r="A177" t="str">
            <v>2121</v>
          </cell>
          <cell r="B177" t="str">
            <v>Manufacturing</v>
          </cell>
          <cell r="C177" t="str">
            <v>NA</v>
          </cell>
          <cell r="F177" t="str">
            <v>2121</v>
          </cell>
          <cell r="G177" t="str">
            <v>Manufacturing</v>
          </cell>
          <cell r="H177" t="str">
            <v>NA</v>
          </cell>
        </row>
        <row r="178">
          <cell r="A178" t="str">
            <v>2131</v>
          </cell>
          <cell r="B178" t="str">
            <v>Manufacturing</v>
          </cell>
          <cell r="C178" t="str">
            <v>NA</v>
          </cell>
          <cell r="F178" t="str">
            <v>2131</v>
          </cell>
          <cell r="G178" t="str">
            <v>Manufacturing</v>
          </cell>
          <cell r="H178" t="str">
            <v>NA</v>
          </cell>
        </row>
        <row r="179">
          <cell r="A179" t="str">
            <v>2141</v>
          </cell>
          <cell r="B179" t="str">
            <v>Manufacturing</v>
          </cell>
          <cell r="C179" t="str">
            <v>NA</v>
          </cell>
          <cell r="F179" t="str">
            <v>2141</v>
          </cell>
          <cell r="G179" t="str">
            <v>Manufacturing</v>
          </cell>
          <cell r="H179" t="str">
            <v>NA</v>
          </cell>
        </row>
        <row r="180">
          <cell r="A180" t="str">
            <v>2211</v>
          </cell>
          <cell r="B180" t="str">
            <v>Manufacturing</v>
          </cell>
          <cell r="C180" t="str">
            <v>NA</v>
          </cell>
          <cell r="F180" t="str">
            <v>2211</v>
          </cell>
          <cell r="G180" t="str">
            <v>Manufacturing</v>
          </cell>
          <cell r="H180" t="str">
            <v>NA</v>
          </cell>
        </row>
        <row r="181">
          <cell r="A181" t="str">
            <v>2221</v>
          </cell>
          <cell r="B181" t="str">
            <v>Manufacturing</v>
          </cell>
          <cell r="C181" t="str">
            <v>NA</v>
          </cell>
          <cell r="F181" t="str">
            <v>2221</v>
          </cell>
          <cell r="G181" t="str">
            <v>Manufacturing</v>
          </cell>
          <cell r="H181" t="str">
            <v>NA</v>
          </cell>
        </row>
        <row r="182">
          <cell r="A182" t="str">
            <v>2231</v>
          </cell>
          <cell r="B182" t="str">
            <v>Manufacturing</v>
          </cell>
          <cell r="C182" t="str">
            <v>NA</v>
          </cell>
          <cell r="F182" t="str">
            <v>2231</v>
          </cell>
          <cell r="G182" t="str">
            <v>Manufacturing</v>
          </cell>
          <cell r="H182" t="str">
            <v>NA</v>
          </cell>
        </row>
        <row r="183">
          <cell r="A183" t="str">
            <v>2241</v>
          </cell>
          <cell r="B183" t="str">
            <v>Manufacturing</v>
          </cell>
          <cell r="C183" t="str">
            <v>NA</v>
          </cell>
          <cell r="F183" t="str">
            <v>2241</v>
          </cell>
          <cell r="G183" t="str">
            <v>Manufacturing</v>
          </cell>
          <cell r="H183" t="str">
            <v>NA</v>
          </cell>
        </row>
        <row r="184">
          <cell r="A184" t="str">
            <v>2251</v>
          </cell>
          <cell r="B184" t="str">
            <v>Manufacturing</v>
          </cell>
          <cell r="C184" t="str">
            <v>NA</v>
          </cell>
          <cell r="F184" t="str">
            <v>2251</v>
          </cell>
          <cell r="G184" t="str">
            <v>Manufacturing</v>
          </cell>
          <cell r="H184" t="str">
            <v>NA</v>
          </cell>
        </row>
        <row r="185">
          <cell r="A185" t="str">
            <v>2252</v>
          </cell>
          <cell r="B185" t="str">
            <v>Manufacturing</v>
          </cell>
          <cell r="C185" t="str">
            <v>NA</v>
          </cell>
          <cell r="F185" t="str">
            <v>2252</v>
          </cell>
          <cell r="G185" t="str">
            <v>Manufacturing</v>
          </cell>
          <cell r="H185" t="str">
            <v>NA</v>
          </cell>
        </row>
        <row r="186">
          <cell r="A186" t="str">
            <v>2253</v>
          </cell>
          <cell r="B186" t="str">
            <v>Manufacturing</v>
          </cell>
          <cell r="C186" t="str">
            <v>NA</v>
          </cell>
          <cell r="F186" t="str">
            <v>2253</v>
          </cell>
          <cell r="G186" t="str">
            <v>Manufacturing</v>
          </cell>
          <cell r="H186" t="str">
            <v>NA</v>
          </cell>
        </row>
        <row r="187">
          <cell r="A187" t="str">
            <v>2254</v>
          </cell>
          <cell r="B187" t="str">
            <v>Manufacturing</v>
          </cell>
          <cell r="C187" t="str">
            <v>NA</v>
          </cell>
          <cell r="F187" t="str">
            <v>2254</v>
          </cell>
          <cell r="G187" t="str">
            <v>Manufacturing</v>
          </cell>
          <cell r="H187" t="str">
            <v>NA</v>
          </cell>
        </row>
        <row r="188">
          <cell r="A188" t="str">
            <v>2257</v>
          </cell>
          <cell r="B188" t="str">
            <v>Manufacturing</v>
          </cell>
          <cell r="C188" t="str">
            <v>NA</v>
          </cell>
          <cell r="F188" t="str">
            <v>2257</v>
          </cell>
          <cell r="G188" t="str">
            <v>Manufacturing</v>
          </cell>
          <cell r="H188" t="str">
            <v>NA</v>
          </cell>
        </row>
        <row r="189">
          <cell r="A189" t="str">
            <v>2258</v>
          </cell>
          <cell r="B189" t="str">
            <v>Manufacturing</v>
          </cell>
          <cell r="C189" t="str">
            <v>NA</v>
          </cell>
          <cell r="F189" t="str">
            <v>2258</v>
          </cell>
          <cell r="G189" t="str">
            <v>Manufacturing</v>
          </cell>
          <cell r="H189" t="str">
            <v>NA</v>
          </cell>
        </row>
        <row r="190">
          <cell r="A190" t="str">
            <v>2259</v>
          </cell>
          <cell r="B190" t="str">
            <v>Manufacturing</v>
          </cell>
          <cell r="C190" t="str">
            <v>NA</v>
          </cell>
          <cell r="F190" t="str">
            <v>2259</v>
          </cell>
          <cell r="G190" t="str">
            <v>Manufacturing</v>
          </cell>
          <cell r="H190" t="str">
            <v>NA</v>
          </cell>
        </row>
        <row r="191">
          <cell r="A191" t="str">
            <v>2261</v>
          </cell>
          <cell r="B191" t="str">
            <v>Manufacturing</v>
          </cell>
          <cell r="C191" t="str">
            <v>NA</v>
          </cell>
          <cell r="F191" t="str">
            <v>2261</v>
          </cell>
          <cell r="G191" t="str">
            <v>Manufacturing</v>
          </cell>
          <cell r="H191" t="str">
            <v>NA</v>
          </cell>
        </row>
        <row r="192">
          <cell r="A192" t="str">
            <v>2262</v>
          </cell>
          <cell r="B192" t="str">
            <v>Manufacturing</v>
          </cell>
          <cell r="C192" t="str">
            <v>NA</v>
          </cell>
          <cell r="F192" t="str">
            <v>2262</v>
          </cell>
          <cell r="G192" t="str">
            <v>Manufacturing</v>
          </cell>
          <cell r="H192" t="str">
            <v>NA</v>
          </cell>
        </row>
        <row r="193">
          <cell r="A193" t="str">
            <v>2269</v>
          </cell>
          <cell r="B193" t="str">
            <v>Manufacturing</v>
          </cell>
          <cell r="C193" t="str">
            <v>NA</v>
          </cell>
          <cell r="F193" t="str">
            <v>2269</v>
          </cell>
          <cell r="G193" t="str">
            <v>Manufacturing</v>
          </cell>
          <cell r="H193" t="str">
            <v>NA</v>
          </cell>
        </row>
        <row r="194">
          <cell r="A194" t="str">
            <v>2273</v>
          </cell>
          <cell r="B194" t="str">
            <v>Manufacturing</v>
          </cell>
          <cell r="C194" t="str">
            <v>NA</v>
          </cell>
          <cell r="F194" t="str">
            <v>2273</v>
          </cell>
          <cell r="G194" t="str">
            <v>Manufacturing</v>
          </cell>
          <cell r="H194" t="str">
            <v>NA</v>
          </cell>
        </row>
        <row r="195">
          <cell r="A195" t="str">
            <v>2281</v>
          </cell>
          <cell r="B195" t="str">
            <v>Manufacturing</v>
          </cell>
          <cell r="C195" t="str">
            <v>NA</v>
          </cell>
          <cell r="F195" t="str">
            <v>2281</v>
          </cell>
          <cell r="G195" t="str">
            <v>Manufacturing</v>
          </cell>
          <cell r="H195" t="str">
            <v>NA</v>
          </cell>
        </row>
        <row r="196">
          <cell r="A196" t="str">
            <v>2282</v>
          </cell>
          <cell r="B196" t="str">
            <v>Manufacturing</v>
          </cell>
          <cell r="C196" t="str">
            <v>NA</v>
          </cell>
          <cell r="F196" t="str">
            <v>2282</v>
          </cell>
          <cell r="G196" t="str">
            <v>Manufacturing</v>
          </cell>
          <cell r="H196" t="str">
            <v>NA</v>
          </cell>
        </row>
        <row r="197">
          <cell r="A197" t="str">
            <v>2284</v>
          </cell>
          <cell r="B197" t="str">
            <v>Manufacturing</v>
          </cell>
          <cell r="C197" t="str">
            <v>NA</v>
          </cell>
          <cell r="F197" t="str">
            <v>2284</v>
          </cell>
          <cell r="G197" t="str">
            <v>Manufacturing</v>
          </cell>
          <cell r="H197" t="str">
            <v>NA</v>
          </cell>
        </row>
        <row r="198">
          <cell r="A198" t="str">
            <v>2295</v>
          </cell>
          <cell r="B198" t="str">
            <v>Manufacturing</v>
          </cell>
          <cell r="C198" t="str">
            <v>NA</v>
          </cell>
          <cell r="F198" t="str">
            <v>2295</v>
          </cell>
          <cell r="G198" t="str">
            <v>Manufacturing</v>
          </cell>
          <cell r="H198" t="str">
            <v>NA</v>
          </cell>
        </row>
        <row r="199">
          <cell r="A199" t="str">
            <v>2296</v>
          </cell>
          <cell r="B199" t="str">
            <v>Manufacturing</v>
          </cell>
          <cell r="C199" t="str">
            <v>NA</v>
          </cell>
          <cell r="F199" t="str">
            <v>2296</v>
          </cell>
          <cell r="G199" t="str">
            <v>Manufacturing</v>
          </cell>
          <cell r="H199" t="str">
            <v>NA</v>
          </cell>
        </row>
        <row r="200">
          <cell r="A200" t="str">
            <v>2297</v>
          </cell>
          <cell r="B200" t="str">
            <v>Manufacturing</v>
          </cell>
          <cell r="C200" t="str">
            <v>NA</v>
          </cell>
          <cell r="F200" t="str">
            <v>2297</v>
          </cell>
          <cell r="G200" t="str">
            <v>Manufacturing</v>
          </cell>
          <cell r="H200" t="str">
            <v>NA</v>
          </cell>
        </row>
        <row r="201">
          <cell r="A201" t="str">
            <v>2298</v>
          </cell>
          <cell r="B201" t="str">
            <v>Manufacturing</v>
          </cell>
          <cell r="C201" t="str">
            <v>NA</v>
          </cell>
          <cell r="F201" t="str">
            <v>2298</v>
          </cell>
          <cell r="G201" t="str">
            <v>Manufacturing</v>
          </cell>
          <cell r="H201" t="str">
            <v>NA</v>
          </cell>
        </row>
        <row r="202">
          <cell r="A202" t="str">
            <v>2299</v>
          </cell>
          <cell r="B202" t="str">
            <v>Manufacturing</v>
          </cell>
          <cell r="C202" t="str">
            <v>NA</v>
          </cell>
          <cell r="F202" t="str">
            <v>2299</v>
          </cell>
          <cell r="G202" t="str">
            <v>Manufacturing</v>
          </cell>
          <cell r="H202" t="str">
            <v>NA</v>
          </cell>
        </row>
        <row r="203">
          <cell r="A203" t="str">
            <v>2311</v>
          </cell>
          <cell r="B203" t="str">
            <v>Manufacturing</v>
          </cell>
          <cell r="C203" t="str">
            <v>NA</v>
          </cell>
          <cell r="F203" t="str">
            <v>2311</v>
          </cell>
          <cell r="G203" t="str">
            <v>Manufacturing</v>
          </cell>
          <cell r="H203" t="str">
            <v>NA</v>
          </cell>
        </row>
        <row r="204">
          <cell r="A204" t="str">
            <v>2321</v>
          </cell>
          <cell r="B204" t="str">
            <v>Manufacturing</v>
          </cell>
          <cell r="C204" t="str">
            <v>NA</v>
          </cell>
          <cell r="F204" t="str">
            <v>2321</v>
          </cell>
          <cell r="G204" t="str">
            <v>Manufacturing</v>
          </cell>
          <cell r="H204" t="str">
            <v>NA</v>
          </cell>
        </row>
        <row r="205">
          <cell r="A205" t="str">
            <v>2322</v>
          </cell>
          <cell r="B205" t="str">
            <v>Manufacturing</v>
          </cell>
          <cell r="C205" t="str">
            <v>NA</v>
          </cell>
          <cell r="F205" t="str">
            <v>2322</v>
          </cell>
          <cell r="G205" t="str">
            <v>Manufacturing</v>
          </cell>
          <cell r="H205" t="str">
            <v>NA</v>
          </cell>
        </row>
        <row r="206">
          <cell r="A206" t="str">
            <v>2323</v>
          </cell>
          <cell r="B206" t="str">
            <v>Manufacturing</v>
          </cell>
          <cell r="C206" t="str">
            <v>NA</v>
          </cell>
          <cell r="F206" t="str">
            <v>2323</v>
          </cell>
          <cell r="G206" t="str">
            <v>Manufacturing</v>
          </cell>
          <cell r="H206" t="str">
            <v>NA</v>
          </cell>
        </row>
        <row r="207">
          <cell r="A207" t="str">
            <v>2325</v>
          </cell>
          <cell r="B207" t="str">
            <v>Manufacturing</v>
          </cell>
          <cell r="C207" t="str">
            <v>NA</v>
          </cell>
          <cell r="F207" t="str">
            <v>2325</v>
          </cell>
          <cell r="G207" t="str">
            <v>Manufacturing</v>
          </cell>
          <cell r="H207" t="str">
            <v>NA</v>
          </cell>
        </row>
        <row r="208">
          <cell r="A208" t="str">
            <v>2326</v>
          </cell>
          <cell r="B208" t="str">
            <v>Manufacturing</v>
          </cell>
          <cell r="C208" t="str">
            <v>NA</v>
          </cell>
          <cell r="F208" t="str">
            <v>2326</v>
          </cell>
          <cell r="G208" t="str">
            <v>Manufacturing</v>
          </cell>
          <cell r="H208" t="str">
            <v>NA</v>
          </cell>
        </row>
        <row r="209">
          <cell r="A209" t="str">
            <v>2329</v>
          </cell>
          <cell r="B209" t="str">
            <v>Manufacturing</v>
          </cell>
          <cell r="C209" t="str">
            <v>NA</v>
          </cell>
          <cell r="F209" t="str">
            <v>2329</v>
          </cell>
          <cell r="G209" t="str">
            <v>Manufacturing</v>
          </cell>
          <cell r="H209" t="str">
            <v>NA</v>
          </cell>
        </row>
        <row r="210">
          <cell r="A210" t="str">
            <v>2331</v>
          </cell>
          <cell r="B210" t="str">
            <v>Manufacturing</v>
          </cell>
          <cell r="C210" t="str">
            <v>NA</v>
          </cell>
          <cell r="F210" t="str">
            <v>2331</v>
          </cell>
          <cell r="G210" t="str">
            <v>Manufacturing</v>
          </cell>
          <cell r="H210" t="str">
            <v>NA</v>
          </cell>
        </row>
        <row r="211">
          <cell r="A211" t="str">
            <v>2335</v>
          </cell>
          <cell r="B211" t="str">
            <v>Manufacturing</v>
          </cell>
          <cell r="C211" t="str">
            <v>NA</v>
          </cell>
          <cell r="F211" t="str">
            <v>2335</v>
          </cell>
          <cell r="G211" t="str">
            <v>Manufacturing</v>
          </cell>
          <cell r="H211" t="str">
            <v>NA</v>
          </cell>
        </row>
        <row r="212">
          <cell r="A212" t="str">
            <v>2337</v>
          </cell>
          <cell r="B212" t="str">
            <v>Manufacturing</v>
          </cell>
          <cell r="C212" t="str">
            <v>NA</v>
          </cell>
          <cell r="F212" t="str">
            <v>2337</v>
          </cell>
          <cell r="G212" t="str">
            <v>Manufacturing</v>
          </cell>
          <cell r="H212" t="str">
            <v>NA</v>
          </cell>
        </row>
        <row r="213">
          <cell r="A213" t="str">
            <v>2339</v>
          </cell>
          <cell r="B213" t="str">
            <v>Manufacturing</v>
          </cell>
          <cell r="C213" t="str">
            <v>NA</v>
          </cell>
          <cell r="F213" t="str">
            <v>2339</v>
          </cell>
          <cell r="G213" t="str">
            <v>Manufacturing</v>
          </cell>
          <cell r="H213" t="str">
            <v>NA</v>
          </cell>
        </row>
        <row r="214">
          <cell r="A214" t="str">
            <v>2341</v>
          </cell>
          <cell r="B214" t="str">
            <v>Manufacturing</v>
          </cell>
          <cell r="C214" t="str">
            <v>NA</v>
          </cell>
          <cell r="F214" t="str">
            <v>2341</v>
          </cell>
          <cell r="G214" t="str">
            <v>Manufacturing</v>
          </cell>
          <cell r="H214" t="str">
            <v>NA</v>
          </cell>
        </row>
        <row r="215">
          <cell r="A215" t="str">
            <v>2342</v>
          </cell>
          <cell r="B215" t="str">
            <v>Manufacturing</v>
          </cell>
          <cell r="C215" t="str">
            <v>NA</v>
          </cell>
          <cell r="F215" t="str">
            <v>2342</v>
          </cell>
          <cell r="G215" t="str">
            <v>Manufacturing</v>
          </cell>
          <cell r="H215" t="str">
            <v>NA</v>
          </cell>
        </row>
        <row r="216">
          <cell r="A216" t="str">
            <v>2352</v>
          </cell>
          <cell r="B216" t="str">
            <v>Manufacturing</v>
          </cell>
          <cell r="C216" t="str">
            <v>NA</v>
          </cell>
          <cell r="F216" t="str">
            <v>2352</v>
          </cell>
          <cell r="G216" t="str">
            <v>Manufacturing</v>
          </cell>
          <cell r="H216" t="str">
            <v>NA</v>
          </cell>
        </row>
        <row r="217">
          <cell r="A217" t="str">
            <v>2361</v>
          </cell>
          <cell r="B217" t="str">
            <v>Manufacturing</v>
          </cell>
          <cell r="C217" t="str">
            <v>NA</v>
          </cell>
          <cell r="F217" t="str">
            <v>2361</v>
          </cell>
          <cell r="G217" t="str">
            <v>Manufacturing</v>
          </cell>
          <cell r="H217" t="str">
            <v>NA</v>
          </cell>
        </row>
        <row r="218">
          <cell r="A218" t="str">
            <v>2369</v>
          </cell>
          <cell r="B218" t="str">
            <v>Manufacturing</v>
          </cell>
          <cell r="C218" t="str">
            <v>NA</v>
          </cell>
          <cell r="F218" t="str">
            <v>2369</v>
          </cell>
          <cell r="G218" t="str">
            <v>Manufacturing</v>
          </cell>
          <cell r="H218" t="str">
            <v>NA</v>
          </cell>
        </row>
        <row r="219">
          <cell r="A219" t="str">
            <v>2371</v>
          </cell>
          <cell r="B219" t="str">
            <v>Manufacturing</v>
          </cell>
          <cell r="C219" t="str">
            <v>NA</v>
          </cell>
          <cell r="F219" t="str">
            <v>2371</v>
          </cell>
          <cell r="G219" t="str">
            <v>Manufacturing</v>
          </cell>
          <cell r="H219" t="str">
            <v>NA</v>
          </cell>
        </row>
        <row r="220">
          <cell r="A220" t="str">
            <v>2381</v>
          </cell>
          <cell r="B220" t="str">
            <v>Manufacturing</v>
          </cell>
          <cell r="C220" t="str">
            <v>NA</v>
          </cell>
          <cell r="F220" t="str">
            <v>2381</v>
          </cell>
          <cell r="G220" t="str">
            <v>Manufacturing</v>
          </cell>
          <cell r="H220" t="str">
            <v>NA</v>
          </cell>
        </row>
        <row r="221">
          <cell r="A221" t="str">
            <v>2384</v>
          </cell>
          <cell r="B221" t="str">
            <v>Manufacturing</v>
          </cell>
          <cell r="C221" t="str">
            <v>NA</v>
          </cell>
          <cell r="F221" t="str">
            <v>2384</v>
          </cell>
          <cell r="G221" t="str">
            <v>Manufacturing</v>
          </cell>
          <cell r="H221" t="str">
            <v>NA</v>
          </cell>
        </row>
        <row r="222">
          <cell r="A222" t="str">
            <v>2385</v>
          </cell>
          <cell r="B222" t="str">
            <v>Manufacturing</v>
          </cell>
          <cell r="C222" t="str">
            <v>NA</v>
          </cell>
          <cell r="F222" t="str">
            <v>2385</v>
          </cell>
          <cell r="G222" t="str">
            <v>Manufacturing</v>
          </cell>
          <cell r="H222" t="str">
            <v>NA</v>
          </cell>
        </row>
        <row r="223">
          <cell r="A223" t="str">
            <v>2386</v>
          </cell>
          <cell r="B223" t="str">
            <v>Manufacturing</v>
          </cell>
          <cell r="C223" t="str">
            <v>NA</v>
          </cell>
          <cell r="F223" t="str">
            <v>2386</v>
          </cell>
          <cell r="G223" t="str">
            <v>Manufacturing</v>
          </cell>
          <cell r="H223" t="str">
            <v>NA</v>
          </cell>
        </row>
        <row r="224">
          <cell r="A224" t="str">
            <v>2387</v>
          </cell>
          <cell r="B224" t="str">
            <v>Manufacturing</v>
          </cell>
          <cell r="C224" t="str">
            <v>NA</v>
          </cell>
          <cell r="F224" t="str">
            <v>2387</v>
          </cell>
          <cell r="G224" t="str">
            <v>Manufacturing</v>
          </cell>
          <cell r="H224" t="str">
            <v>NA</v>
          </cell>
        </row>
        <row r="225">
          <cell r="A225" t="str">
            <v>2389</v>
          </cell>
          <cell r="B225" t="str">
            <v>Manufacturing</v>
          </cell>
          <cell r="C225" t="str">
            <v>NA</v>
          </cell>
          <cell r="F225" t="str">
            <v>2389</v>
          </cell>
          <cell r="G225" t="str">
            <v>Manufacturing</v>
          </cell>
          <cell r="H225" t="str">
            <v>NA</v>
          </cell>
        </row>
        <row r="226">
          <cell r="A226" t="str">
            <v>2391</v>
          </cell>
          <cell r="B226" t="str">
            <v>Manufacturing</v>
          </cell>
          <cell r="C226" t="str">
            <v>NA</v>
          </cell>
          <cell r="F226" t="str">
            <v>2391</v>
          </cell>
          <cell r="G226" t="str">
            <v>Manufacturing</v>
          </cell>
          <cell r="H226" t="str">
            <v>NA</v>
          </cell>
        </row>
        <row r="227">
          <cell r="A227" t="str">
            <v>2392</v>
          </cell>
          <cell r="B227" t="str">
            <v>Manufacturing</v>
          </cell>
          <cell r="C227" t="str">
            <v>NA</v>
          </cell>
          <cell r="F227" t="str">
            <v>2392</v>
          </cell>
          <cell r="G227" t="str">
            <v>Manufacturing</v>
          </cell>
          <cell r="H227" t="str">
            <v>NA</v>
          </cell>
        </row>
        <row r="228">
          <cell r="A228" t="str">
            <v>2393</v>
          </cell>
          <cell r="B228" t="str">
            <v>Manufacturing</v>
          </cell>
          <cell r="C228" t="str">
            <v>NA</v>
          </cell>
          <cell r="F228" t="str">
            <v>2393</v>
          </cell>
          <cell r="G228" t="str">
            <v>Manufacturing</v>
          </cell>
          <cell r="H228" t="str">
            <v>NA</v>
          </cell>
        </row>
        <row r="229">
          <cell r="A229" t="str">
            <v>2394</v>
          </cell>
          <cell r="B229" t="str">
            <v>Manufacturing</v>
          </cell>
          <cell r="C229" t="str">
            <v>NA</v>
          </cell>
          <cell r="F229" t="str">
            <v>2394</v>
          </cell>
          <cell r="G229" t="str">
            <v>Manufacturing</v>
          </cell>
          <cell r="H229" t="str">
            <v>NA</v>
          </cell>
        </row>
        <row r="230">
          <cell r="A230" t="str">
            <v>2395</v>
          </cell>
          <cell r="B230" t="str">
            <v>Manufacturing</v>
          </cell>
          <cell r="C230" t="str">
            <v>NA</v>
          </cell>
          <cell r="F230" t="str">
            <v>2395</v>
          </cell>
          <cell r="G230" t="str">
            <v>Manufacturing</v>
          </cell>
          <cell r="H230" t="str">
            <v>NA</v>
          </cell>
        </row>
        <row r="231">
          <cell r="A231" t="str">
            <v>2396</v>
          </cell>
          <cell r="B231" t="str">
            <v>Manufacturing</v>
          </cell>
          <cell r="C231" t="str">
            <v>NA</v>
          </cell>
          <cell r="F231" t="str">
            <v>2396</v>
          </cell>
          <cell r="G231" t="str">
            <v>Manufacturing</v>
          </cell>
          <cell r="H231" t="str">
            <v>NA</v>
          </cell>
        </row>
        <row r="232">
          <cell r="A232" t="str">
            <v>2397</v>
          </cell>
          <cell r="B232" t="str">
            <v>Manufacturing</v>
          </cell>
          <cell r="C232" t="str">
            <v>NA</v>
          </cell>
          <cell r="F232" t="str">
            <v>2397</v>
          </cell>
          <cell r="G232" t="str">
            <v>Manufacturing</v>
          </cell>
          <cell r="H232" t="str">
            <v>NA</v>
          </cell>
        </row>
        <row r="233">
          <cell r="A233" t="str">
            <v>2399</v>
          </cell>
          <cell r="B233" t="str">
            <v>Manufacturing</v>
          </cell>
          <cell r="C233" t="str">
            <v>NA</v>
          </cell>
          <cell r="F233" t="str">
            <v>2399</v>
          </cell>
          <cell r="G233" t="str">
            <v>Manufacturing</v>
          </cell>
          <cell r="H233" t="str">
            <v>NA</v>
          </cell>
        </row>
        <row r="234">
          <cell r="A234" t="str">
            <v>2411</v>
          </cell>
          <cell r="B234" t="str">
            <v>Manufacturing</v>
          </cell>
          <cell r="C234" t="str">
            <v>NA</v>
          </cell>
          <cell r="F234" t="str">
            <v>2411</v>
          </cell>
          <cell r="G234" t="str">
            <v>Manufacturing</v>
          </cell>
          <cell r="H234" t="str">
            <v>NA</v>
          </cell>
        </row>
        <row r="235">
          <cell r="A235" t="str">
            <v>2421</v>
          </cell>
          <cell r="B235" t="str">
            <v>Manufacturing</v>
          </cell>
          <cell r="C235" t="str">
            <v>NA</v>
          </cell>
          <cell r="F235" t="str">
            <v>2421</v>
          </cell>
          <cell r="G235" t="str">
            <v>Manufacturing</v>
          </cell>
          <cell r="H235" t="str">
            <v>NA</v>
          </cell>
        </row>
        <row r="236">
          <cell r="A236" t="str">
            <v>2426</v>
          </cell>
          <cell r="B236" t="str">
            <v>Manufacturing</v>
          </cell>
          <cell r="C236" t="str">
            <v>NA</v>
          </cell>
          <cell r="F236" t="str">
            <v>2426</v>
          </cell>
          <cell r="G236" t="str">
            <v>Manufacturing</v>
          </cell>
          <cell r="H236" t="str">
            <v>NA</v>
          </cell>
        </row>
        <row r="237">
          <cell r="A237" t="str">
            <v>2429</v>
          </cell>
          <cell r="B237" t="str">
            <v>Manufacturing</v>
          </cell>
          <cell r="C237" t="str">
            <v>NA</v>
          </cell>
          <cell r="F237" t="str">
            <v>2429</v>
          </cell>
          <cell r="G237" t="str">
            <v>Manufacturing</v>
          </cell>
          <cell r="H237" t="str">
            <v>NA</v>
          </cell>
        </row>
        <row r="238">
          <cell r="A238" t="str">
            <v>2431</v>
          </cell>
          <cell r="B238" t="str">
            <v>Manufacturing</v>
          </cell>
          <cell r="C238" t="str">
            <v>NA</v>
          </cell>
          <cell r="F238" t="str">
            <v>2431</v>
          </cell>
          <cell r="G238" t="str">
            <v>Manufacturing</v>
          </cell>
          <cell r="H238" t="str">
            <v>NA</v>
          </cell>
        </row>
        <row r="239">
          <cell r="A239" t="str">
            <v>2434</v>
          </cell>
          <cell r="B239" t="str">
            <v>Manufacturing</v>
          </cell>
          <cell r="C239" t="str">
            <v>NA</v>
          </cell>
          <cell r="F239" t="str">
            <v>2434</v>
          </cell>
          <cell r="G239" t="str">
            <v>Manufacturing</v>
          </cell>
          <cell r="H239" t="str">
            <v>NA</v>
          </cell>
        </row>
        <row r="240">
          <cell r="A240" t="str">
            <v>2435</v>
          </cell>
          <cell r="B240" t="str">
            <v>Manufacturing</v>
          </cell>
          <cell r="C240" t="str">
            <v>NA</v>
          </cell>
          <cell r="F240" t="str">
            <v>2435</v>
          </cell>
          <cell r="G240" t="str">
            <v>Manufacturing</v>
          </cell>
          <cell r="H240" t="str">
            <v>NA</v>
          </cell>
        </row>
        <row r="241">
          <cell r="A241" t="str">
            <v>2436</v>
          </cell>
          <cell r="B241" t="str">
            <v>Manufacturing</v>
          </cell>
          <cell r="C241" t="str">
            <v>NA</v>
          </cell>
          <cell r="F241" t="str">
            <v>2436</v>
          </cell>
          <cell r="G241" t="str">
            <v>Manufacturing</v>
          </cell>
          <cell r="H241" t="str">
            <v>NA</v>
          </cell>
        </row>
        <row r="242">
          <cell r="A242" t="str">
            <v>2439</v>
          </cell>
          <cell r="B242" t="str">
            <v>Manufacturing</v>
          </cell>
          <cell r="C242" t="str">
            <v>NA</v>
          </cell>
          <cell r="F242" t="str">
            <v>2439</v>
          </cell>
          <cell r="G242" t="str">
            <v>Manufacturing</v>
          </cell>
          <cell r="H242" t="str">
            <v>NA</v>
          </cell>
        </row>
        <row r="243">
          <cell r="A243" t="str">
            <v>2441</v>
          </cell>
          <cell r="B243" t="str">
            <v>Manufacturing</v>
          </cell>
          <cell r="C243" t="str">
            <v>NA</v>
          </cell>
          <cell r="F243" t="str">
            <v>2441</v>
          </cell>
          <cell r="G243" t="str">
            <v>Manufacturing</v>
          </cell>
          <cell r="H243" t="str">
            <v>NA</v>
          </cell>
        </row>
        <row r="244">
          <cell r="A244" t="str">
            <v>2448</v>
          </cell>
          <cell r="B244" t="str">
            <v>Manufacturing</v>
          </cell>
          <cell r="C244" t="str">
            <v>NA</v>
          </cell>
          <cell r="F244" t="str">
            <v>2448</v>
          </cell>
          <cell r="G244" t="str">
            <v>Manufacturing</v>
          </cell>
          <cell r="H244" t="str">
            <v>NA</v>
          </cell>
        </row>
        <row r="245">
          <cell r="A245" t="str">
            <v>2449</v>
          </cell>
          <cell r="B245" t="str">
            <v>Manufacturing</v>
          </cell>
          <cell r="C245" t="str">
            <v>NA</v>
          </cell>
          <cell r="F245" t="str">
            <v>2449</v>
          </cell>
          <cell r="G245" t="str">
            <v>Manufacturing</v>
          </cell>
          <cell r="H245" t="str">
            <v>NA</v>
          </cell>
        </row>
        <row r="246">
          <cell r="A246" t="str">
            <v>2451</v>
          </cell>
          <cell r="B246" t="str">
            <v>Manufacturing</v>
          </cell>
          <cell r="C246" t="str">
            <v>NA</v>
          </cell>
          <cell r="F246" t="str">
            <v>2451</v>
          </cell>
          <cell r="G246" t="str">
            <v>Manufacturing</v>
          </cell>
          <cell r="H246" t="str">
            <v>NA</v>
          </cell>
        </row>
        <row r="247">
          <cell r="A247" t="str">
            <v>2452</v>
          </cell>
          <cell r="B247" t="str">
            <v>Manufacturing</v>
          </cell>
          <cell r="C247" t="str">
            <v>NA</v>
          </cell>
          <cell r="F247" t="str">
            <v>2452</v>
          </cell>
          <cell r="G247" t="str">
            <v>Manufacturing</v>
          </cell>
          <cell r="H247" t="str">
            <v>NA</v>
          </cell>
        </row>
        <row r="248">
          <cell r="A248" t="str">
            <v>2491</v>
          </cell>
          <cell r="B248" t="str">
            <v>Manufacturing</v>
          </cell>
          <cell r="C248" t="str">
            <v>NA</v>
          </cell>
          <cell r="F248" t="str">
            <v>2491</v>
          </cell>
          <cell r="G248" t="str">
            <v>Manufacturing</v>
          </cell>
          <cell r="H248" t="str">
            <v>NA</v>
          </cell>
        </row>
        <row r="249">
          <cell r="A249" t="str">
            <v>2493</v>
          </cell>
          <cell r="B249" t="str">
            <v>Manufacturing</v>
          </cell>
          <cell r="C249" t="str">
            <v>NA</v>
          </cell>
          <cell r="F249" t="str">
            <v>2493</v>
          </cell>
          <cell r="G249" t="str">
            <v>Manufacturing</v>
          </cell>
          <cell r="H249" t="str">
            <v>NA</v>
          </cell>
        </row>
        <row r="250">
          <cell r="A250" t="str">
            <v>2499</v>
          </cell>
          <cell r="B250" t="str">
            <v>Manufacturing</v>
          </cell>
          <cell r="C250" t="str">
            <v>NA</v>
          </cell>
          <cell r="F250" t="str">
            <v>2499</v>
          </cell>
          <cell r="G250" t="str">
            <v>Manufacturing</v>
          </cell>
          <cell r="H250" t="str">
            <v>NA</v>
          </cell>
        </row>
        <row r="251">
          <cell r="A251" t="str">
            <v>2511</v>
          </cell>
          <cell r="B251" t="str">
            <v>Manufacturing</v>
          </cell>
          <cell r="C251" t="str">
            <v>NA</v>
          </cell>
          <cell r="F251" t="str">
            <v>2511</v>
          </cell>
          <cell r="G251" t="str">
            <v>Manufacturing</v>
          </cell>
          <cell r="H251" t="str">
            <v>NA</v>
          </cell>
        </row>
        <row r="252">
          <cell r="A252" t="str">
            <v>2512</v>
          </cell>
          <cell r="B252" t="str">
            <v>Manufacturing</v>
          </cell>
          <cell r="C252" t="str">
            <v>NA</v>
          </cell>
          <cell r="F252" t="str">
            <v>2512</v>
          </cell>
          <cell r="G252" t="str">
            <v>Manufacturing</v>
          </cell>
          <cell r="H252" t="str">
            <v>NA</v>
          </cell>
        </row>
        <row r="253">
          <cell r="A253" t="str">
            <v>2514</v>
          </cell>
          <cell r="B253" t="str">
            <v>Manufacturing</v>
          </cell>
          <cell r="C253" t="str">
            <v>NA</v>
          </cell>
          <cell r="F253" t="str">
            <v>2514</v>
          </cell>
          <cell r="G253" t="str">
            <v>Manufacturing</v>
          </cell>
          <cell r="H253" t="str">
            <v>NA</v>
          </cell>
        </row>
        <row r="254">
          <cell r="A254" t="str">
            <v>2515</v>
          </cell>
          <cell r="B254" t="str">
            <v>Manufacturing</v>
          </cell>
          <cell r="C254" t="str">
            <v>NA</v>
          </cell>
          <cell r="F254" t="str">
            <v>2515</v>
          </cell>
          <cell r="G254" t="str">
            <v>Manufacturing</v>
          </cell>
          <cell r="H254" t="str">
            <v>NA</v>
          </cell>
        </row>
        <row r="255">
          <cell r="A255" t="str">
            <v>2517</v>
          </cell>
          <cell r="B255" t="str">
            <v>Manufacturing</v>
          </cell>
          <cell r="C255" t="str">
            <v>NA</v>
          </cell>
          <cell r="F255" t="str">
            <v>2517</v>
          </cell>
          <cell r="G255" t="str">
            <v>Manufacturing</v>
          </cell>
          <cell r="H255" t="str">
            <v>NA</v>
          </cell>
        </row>
        <row r="256">
          <cell r="A256" t="str">
            <v>2519</v>
          </cell>
          <cell r="B256" t="str">
            <v>Manufacturing</v>
          </cell>
          <cell r="C256" t="str">
            <v>NA</v>
          </cell>
          <cell r="F256" t="str">
            <v>2519</v>
          </cell>
          <cell r="G256" t="str">
            <v>Manufacturing</v>
          </cell>
          <cell r="H256" t="str">
            <v>NA</v>
          </cell>
        </row>
        <row r="257">
          <cell r="A257" t="str">
            <v>2521</v>
          </cell>
          <cell r="B257" t="str">
            <v>Manufacturing</v>
          </cell>
          <cell r="C257" t="str">
            <v>NA</v>
          </cell>
          <cell r="F257" t="str">
            <v>2521</v>
          </cell>
          <cell r="G257" t="str">
            <v>Manufacturing</v>
          </cell>
          <cell r="H257" t="str">
            <v>NA</v>
          </cell>
        </row>
        <row r="258">
          <cell r="A258" t="str">
            <v>2522</v>
          </cell>
          <cell r="B258" t="str">
            <v>Manufacturing</v>
          </cell>
          <cell r="C258" t="str">
            <v>NA</v>
          </cell>
          <cell r="F258" t="str">
            <v>2522</v>
          </cell>
          <cell r="G258" t="str">
            <v>Manufacturing</v>
          </cell>
          <cell r="H258" t="str">
            <v>NA</v>
          </cell>
        </row>
        <row r="259">
          <cell r="A259" t="str">
            <v>2531</v>
          </cell>
          <cell r="B259" t="str">
            <v>Manufacturing</v>
          </cell>
          <cell r="C259" t="str">
            <v>NA</v>
          </cell>
          <cell r="F259" t="str">
            <v>2531</v>
          </cell>
          <cell r="G259" t="str">
            <v>Manufacturing</v>
          </cell>
          <cell r="H259" t="str">
            <v>NA</v>
          </cell>
        </row>
        <row r="260">
          <cell r="A260" t="str">
            <v>2541</v>
          </cell>
          <cell r="B260" t="str">
            <v>Manufacturing</v>
          </cell>
          <cell r="C260" t="str">
            <v>NA</v>
          </cell>
          <cell r="F260" t="str">
            <v>2541</v>
          </cell>
          <cell r="G260" t="str">
            <v>Manufacturing</v>
          </cell>
          <cell r="H260" t="str">
            <v>NA</v>
          </cell>
        </row>
        <row r="261">
          <cell r="A261" t="str">
            <v>2542</v>
          </cell>
          <cell r="B261" t="str">
            <v>Manufacturing</v>
          </cell>
          <cell r="C261" t="str">
            <v>NA</v>
          </cell>
          <cell r="F261" t="str">
            <v>2542</v>
          </cell>
          <cell r="G261" t="str">
            <v>Manufacturing</v>
          </cell>
          <cell r="H261" t="str">
            <v>NA</v>
          </cell>
        </row>
        <row r="262">
          <cell r="A262" t="str">
            <v>2591</v>
          </cell>
          <cell r="B262" t="str">
            <v>Manufacturing</v>
          </cell>
          <cell r="C262" t="str">
            <v>NA</v>
          </cell>
          <cell r="F262" t="str">
            <v>2591</v>
          </cell>
          <cell r="G262" t="str">
            <v>Manufacturing</v>
          </cell>
          <cell r="H262" t="str">
            <v>NA</v>
          </cell>
        </row>
        <row r="263">
          <cell r="A263" t="str">
            <v>2599</v>
          </cell>
          <cell r="B263" t="str">
            <v>Manufacturing</v>
          </cell>
          <cell r="C263" t="str">
            <v>NA</v>
          </cell>
          <cell r="F263" t="str">
            <v>2599</v>
          </cell>
          <cell r="G263" t="str">
            <v>Manufacturing</v>
          </cell>
          <cell r="H263" t="str">
            <v>NA</v>
          </cell>
        </row>
        <row r="264">
          <cell r="A264" t="str">
            <v>2611</v>
          </cell>
          <cell r="B264" t="str">
            <v>Manufacturing</v>
          </cell>
          <cell r="C264" t="str">
            <v>NA</v>
          </cell>
          <cell r="F264" t="str">
            <v>2611</v>
          </cell>
          <cell r="G264" t="str">
            <v>Manufacturing</v>
          </cell>
          <cell r="H264" t="str">
            <v>NA</v>
          </cell>
        </row>
        <row r="265">
          <cell r="A265" t="str">
            <v>2621</v>
          </cell>
          <cell r="B265" t="str">
            <v>Manufacturing</v>
          </cell>
          <cell r="C265" t="str">
            <v>NA</v>
          </cell>
          <cell r="F265" t="str">
            <v>2621</v>
          </cell>
          <cell r="G265" t="str">
            <v>Manufacturing</v>
          </cell>
          <cell r="H265" t="str">
            <v>NA</v>
          </cell>
        </row>
        <row r="266">
          <cell r="A266" t="str">
            <v>2631</v>
          </cell>
          <cell r="B266" t="str">
            <v>Manufacturing</v>
          </cell>
          <cell r="C266" t="str">
            <v>NA</v>
          </cell>
          <cell r="F266" t="str">
            <v>2631</v>
          </cell>
          <cell r="G266" t="str">
            <v>Manufacturing</v>
          </cell>
          <cell r="H266" t="str">
            <v>NA</v>
          </cell>
        </row>
        <row r="267">
          <cell r="A267" t="str">
            <v>2652</v>
          </cell>
          <cell r="B267" t="str">
            <v>Manufacturing</v>
          </cell>
          <cell r="C267" t="str">
            <v>NA</v>
          </cell>
          <cell r="F267" t="str">
            <v>2652</v>
          </cell>
          <cell r="G267" t="str">
            <v>Manufacturing</v>
          </cell>
          <cell r="H267" t="str">
            <v>NA</v>
          </cell>
        </row>
        <row r="268">
          <cell r="A268" t="str">
            <v>2653</v>
          </cell>
          <cell r="B268" t="str">
            <v>Manufacturing</v>
          </cell>
          <cell r="C268" t="str">
            <v>NA</v>
          </cell>
          <cell r="F268" t="str">
            <v>2653</v>
          </cell>
          <cell r="G268" t="str">
            <v>Manufacturing</v>
          </cell>
          <cell r="H268" t="str">
            <v>NA</v>
          </cell>
        </row>
        <row r="269">
          <cell r="A269" t="str">
            <v>2655</v>
          </cell>
          <cell r="B269" t="str">
            <v>Manufacturing</v>
          </cell>
          <cell r="C269" t="str">
            <v>NA</v>
          </cell>
          <cell r="F269" t="str">
            <v>2655</v>
          </cell>
          <cell r="G269" t="str">
            <v>Manufacturing</v>
          </cell>
          <cell r="H269" t="str">
            <v>NA</v>
          </cell>
        </row>
        <row r="270">
          <cell r="A270" t="str">
            <v>2656</v>
          </cell>
          <cell r="B270" t="str">
            <v>Manufacturing</v>
          </cell>
          <cell r="C270" t="str">
            <v>NA</v>
          </cell>
          <cell r="F270" t="str">
            <v>2656</v>
          </cell>
          <cell r="G270" t="str">
            <v>Manufacturing</v>
          </cell>
          <cell r="H270" t="str">
            <v>NA</v>
          </cell>
        </row>
        <row r="271">
          <cell r="A271" t="str">
            <v>2657</v>
          </cell>
          <cell r="B271" t="str">
            <v>Manufacturing</v>
          </cell>
          <cell r="C271" t="str">
            <v>NA</v>
          </cell>
          <cell r="F271" t="str">
            <v>2657</v>
          </cell>
          <cell r="G271" t="str">
            <v>Manufacturing</v>
          </cell>
          <cell r="H271" t="str">
            <v>NA</v>
          </cell>
        </row>
        <row r="272">
          <cell r="A272" t="str">
            <v>2671</v>
          </cell>
          <cell r="B272" t="str">
            <v>Manufacturing</v>
          </cell>
          <cell r="C272" t="str">
            <v>NA</v>
          </cell>
          <cell r="F272" t="str">
            <v>2671</v>
          </cell>
          <cell r="G272" t="str">
            <v>Manufacturing</v>
          </cell>
          <cell r="H272" t="str">
            <v>NA</v>
          </cell>
        </row>
        <row r="273">
          <cell r="A273" t="str">
            <v>2672</v>
          </cell>
          <cell r="B273" t="str">
            <v>Manufacturing</v>
          </cell>
          <cell r="C273" t="str">
            <v>NA</v>
          </cell>
          <cell r="F273" t="str">
            <v>2672</v>
          </cell>
          <cell r="G273" t="str">
            <v>Manufacturing</v>
          </cell>
          <cell r="H273" t="str">
            <v>NA</v>
          </cell>
        </row>
        <row r="274">
          <cell r="A274" t="str">
            <v>2673</v>
          </cell>
          <cell r="B274" t="str">
            <v>Manufacturing</v>
          </cell>
          <cell r="C274" t="str">
            <v>NA</v>
          </cell>
          <cell r="F274" t="str">
            <v>2673</v>
          </cell>
          <cell r="G274" t="str">
            <v>Manufacturing</v>
          </cell>
          <cell r="H274" t="str">
            <v>NA</v>
          </cell>
        </row>
        <row r="275">
          <cell r="A275" t="str">
            <v>2674</v>
          </cell>
          <cell r="B275" t="str">
            <v>Manufacturing</v>
          </cell>
          <cell r="C275" t="str">
            <v>NA</v>
          </cell>
          <cell r="F275" t="str">
            <v>2674</v>
          </cell>
          <cell r="G275" t="str">
            <v>Manufacturing</v>
          </cell>
          <cell r="H275" t="str">
            <v>NA</v>
          </cell>
        </row>
        <row r="276">
          <cell r="A276" t="str">
            <v>2675</v>
          </cell>
          <cell r="B276" t="str">
            <v>Manufacturing</v>
          </cell>
          <cell r="C276" t="str">
            <v>NA</v>
          </cell>
          <cell r="F276" t="str">
            <v>2675</v>
          </cell>
          <cell r="G276" t="str">
            <v>Manufacturing</v>
          </cell>
          <cell r="H276" t="str">
            <v>NA</v>
          </cell>
        </row>
        <row r="277">
          <cell r="A277" t="str">
            <v>2676</v>
          </cell>
          <cell r="B277" t="str">
            <v>Manufacturing</v>
          </cell>
          <cell r="C277" t="str">
            <v>NA</v>
          </cell>
          <cell r="F277" t="str">
            <v>2676</v>
          </cell>
          <cell r="G277" t="str">
            <v>Manufacturing</v>
          </cell>
          <cell r="H277" t="str">
            <v>NA</v>
          </cell>
        </row>
        <row r="278">
          <cell r="A278" t="str">
            <v>2677</v>
          </cell>
          <cell r="B278" t="str">
            <v>Manufacturing</v>
          </cell>
          <cell r="C278" t="str">
            <v>NA</v>
          </cell>
          <cell r="F278" t="str">
            <v>2677</v>
          </cell>
          <cell r="G278" t="str">
            <v>Manufacturing</v>
          </cell>
          <cell r="H278" t="str">
            <v>NA</v>
          </cell>
        </row>
        <row r="279">
          <cell r="A279" t="str">
            <v>2678</v>
          </cell>
          <cell r="B279" t="str">
            <v>Manufacturing</v>
          </cell>
          <cell r="C279" t="str">
            <v>NA</v>
          </cell>
          <cell r="F279" t="str">
            <v>2678</v>
          </cell>
          <cell r="G279" t="str">
            <v>Manufacturing</v>
          </cell>
          <cell r="H279" t="str">
            <v>NA</v>
          </cell>
        </row>
        <row r="280">
          <cell r="A280" t="str">
            <v>2679</v>
          </cell>
          <cell r="B280" t="str">
            <v>Manufacturing</v>
          </cell>
          <cell r="C280" t="str">
            <v>NA</v>
          </cell>
          <cell r="F280" t="str">
            <v>2679</v>
          </cell>
          <cell r="G280" t="str">
            <v>Manufacturing</v>
          </cell>
          <cell r="H280" t="str">
            <v>NA</v>
          </cell>
        </row>
        <row r="281">
          <cell r="A281" t="str">
            <v>2711</v>
          </cell>
          <cell r="B281" t="str">
            <v>Services</v>
          </cell>
          <cell r="C281" t="str">
            <v>NA</v>
          </cell>
          <cell r="F281" t="str">
            <v>2711</v>
          </cell>
          <cell r="G281" t="str">
            <v>Services</v>
          </cell>
          <cell r="H281" t="str">
            <v>NA</v>
          </cell>
        </row>
        <row r="282">
          <cell r="A282" t="str">
            <v>2721</v>
          </cell>
          <cell r="B282" t="str">
            <v>Services</v>
          </cell>
          <cell r="C282" t="str">
            <v>NA</v>
          </cell>
          <cell r="F282" t="str">
            <v>2721</v>
          </cell>
          <cell r="G282" t="str">
            <v>Services</v>
          </cell>
          <cell r="H282" t="str">
            <v>NA</v>
          </cell>
        </row>
        <row r="283">
          <cell r="A283" t="str">
            <v>2731</v>
          </cell>
          <cell r="B283" t="str">
            <v>Services</v>
          </cell>
          <cell r="C283" t="str">
            <v>NA</v>
          </cell>
          <cell r="F283" t="str">
            <v>2731</v>
          </cell>
          <cell r="G283" t="str">
            <v>Services</v>
          </cell>
          <cell r="H283" t="str">
            <v>NA</v>
          </cell>
        </row>
        <row r="284">
          <cell r="A284" t="str">
            <v>2732</v>
          </cell>
          <cell r="B284" t="str">
            <v>Services</v>
          </cell>
          <cell r="C284" t="str">
            <v>NA</v>
          </cell>
          <cell r="F284" t="str">
            <v>2732</v>
          </cell>
          <cell r="G284" t="str">
            <v>Services</v>
          </cell>
          <cell r="H284" t="str">
            <v>NA</v>
          </cell>
        </row>
        <row r="285">
          <cell r="A285" t="str">
            <v>2741</v>
          </cell>
          <cell r="B285" t="str">
            <v>Services</v>
          </cell>
          <cell r="C285" t="str">
            <v>NA</v>
          </cell>
          <cell r="F285" t="str">
            <v>2741</v>
          </cell>
          <cell r="G285" t="str">
            <v>Services</v>
          </cell>
          <cell r="H285" t="str">
            <v>NA</v>
          </cell>
        </row>
        <row r="286">
          <cell r="A286" t="str">
            <v>2752</v>
          </cell>
          <cell r="B286" t="str">
            <v>Services</v>
          </cell>
          <cell r="C286">
            <v>6</v>
          </cell>
          <cell r="F286" t="str">
            <v>2752</v>
          </cell>
          <cell r="G286" t="str">
            <v>Services</v>
          </cell>
          <cell r="H286">
            <v>4</v>
          </cell>
        </row>
        <row r="287">
          <cell r="A287" t="str">
            <v>2753</v>
          </cell>
          <cell r="B287" t="str">
            <v>Services</v>
          </cell>
          <cell r="C287" t="str">
            <v>NA</v>
          </cell>
          <cell r="F287" t="str">
            <v>2753</v>
          </cell>
          <cell r="G287" t="str">
            <v>Services</v>
          </cell>
          <cell r="H287" t="str">
            <v>NA</v>
          </cell>
        </row>
        <row r="288">
          <cell r="A288" t="str">
            <v>2759</v>
          </cell>
          <cell r="B288" t="str">
            <v>Services</v>
          </cell>
          <cell r="C288">
            <v>6</v>
          </cell>
          <cell r="F288" t="str">
            <v>2759</v>
          </cell>
          <cell r="G288" t="str">
            <v>Services</v>
          </cell>
          <cell r="H288">
            <v>4</v>
          </cell>
        </row>
        <row r="289">
          <cell r="A289" t="str">
            <v>2761</v>
          </cell>
          <cell r="B289" t="str">
            <v>Services</v>
          </cell>
          <cell r="C289">
            <v>6</v>
          </cell>
          <cell r="F289" t="str">
            <v>2761</v>
          </cell>
          <cell r="G289" t="str">
            <v>Services</v>
          </cell>
          <cell r="H289">
            <v>4</v>
          </cell>
        </row>
        <row r="290">
          <cell r="A290" t="str">
            <v>2771</v>
          </cell>
          <cell r="B290" t="str">
            <v>Services</v>
          </cell>
          <cell r="C290">
            <v>6</v>
          </cell>
          <cell r="F290" t="str">
            <v>2771</v>
          </cell>
          <cell r="G290" t="str">
            <v>Services</v>
          </cell>
          <cell r="H290">
            <v>4</v>
          </cell>
        </row>
        <row r="291">
          <cell r="A291" t="str">
            <v>2783</v>
          </cell>
          <cell r="B291" t="str">
            <v>Services</v>
          </cell>
          <cell r="C291" t="str">
            <v>NA</v>
          </cell>
          <cell r="F291" t="str">
            <v>2783</v>
          </cell>
          <cell r="G291" t="str">
            <v>Services</v>
          </cell>
          <cell r="H291" t="str">
            <v>NA</v>
          </cell>
        </row>
        <row r="292">
          <cell r="A292" t="str">
            <v>2789</v>
          </cell>
          <cell r="B292" t="str">
            <v>Services</v>
          </cell>
          <cell r="C292" t="str">
            <v>NA</v>
          </cell>
          <cell r="F292" t="str">
            <v>2789</v>
          </cell>
          <cell r="G292" t="str">
            <v>Services</v>
          </cell>
          <cell r="H292" t="str">
            <v>NA</v>
          </cell>
        </row>
        <row r="293">
          <cell r="A293" t="str">
            <v>2791</v>
          </cell>
          <cell r="B293" t="str">
            <v>Services</v>
          </cell>
          <cell r="C293" t="str">
            <v>NA</v>
          </cell>
          <cell r="F293" t="str">
            <v>2791</v>
          </cell>
          <cell r="G293" t="str">
            <v>Services</v>
          </cell>
          <cell r="H293" t="str">
            <v>NA</v>
          </cell>
        </row>
        <row r="294">
          <cell r="A294" t="str">
            <v>2796</v>
          </cell>
          <cell r="B294" t="str">
            <v>Manufacturing</v>
          </cell>
          <cell r="C294" t="str">
            <v>NA</v>
          </cell>
          <cell r="F294" t="str">
            <v>2796</v>
          </cell>
          <cell r="G294" t="str">
            <v>Manufacturing</v>
          </cell>
          <cell r="H294" t="str">
            <v>NA</v>
          </cell>
        </row>
        <row r="295">
          <cell r="A295" t="str">
            <v>2812</v>
          </cell>
          <cell r="B295" t="str">
            <v>Manufacturing</v>
          </cell>
          <cell r="C295" t="str">
            <v>NA</v>
          </cell>
          <cell r="F295" t="str">
            <v>2812</v>
          </cell>
          <cell r="G295" t="str">
            <v>Manufacturing</v>
          </cell>
          <cell r="H295" t="str">
            <v>NA</v>
          </cell>
        </row>
        <row r="296">
          <cell r="A296" t="str">
            <v>2813</v>
          </cell>
          <cell r="B296" t="str">
            <v>Manufacturing</v>
          </cell>
          <cell r="C296" t="str">
            <v>NA</v>
          </cell>
          <cell r="F296" t="str">
            <v>2813</v>
          </cell>
          <cell r="G296" t="str">
            <v>Manufacturing</v>
          </cell>
          <cell r="H296" t="str">
            <v>NA</v>
          </cell>
        </row>
        <row r="297">
          <cell r="A297" t="str">
            <v>2816</v>
          </cell>
          <cell r="B297" t="str">
            <v>Manufacturing</v>
          </cell>
          <cell r="C297" t="str">
            <v>NA</v>
          </cell>
          <cell r="F297" t="str">
            <v>2816</v>
          </cell>
          <cell r="G297" t="str">
            <v>Manufacturing</v>
          </cell>
          <cell r="H297" t="str">
            <v>NA</v>
          </cell>
        </row>
        <row r="298">
          <cell r="A298" t="str">
            <v>2819</v>
          </cell>
          <cell r="B298" t="str">
            <v>Manufacturing</v>
          </cell>
          <cell r="C298" t="str">
            <v>NA</v>
          </cell>
          <cell r="F298" t="str">
            <v>2819</v>
          </cell>
          <cell r="G298" t="str">
            <v>Manufacturing</v>
          </cell>
          <cell r="H298" t="str">
            <v>NA</v>
          </cell>
        </row>
        <row r="299">
          <cell r="A299" t="str">
            <v>2821</v>
          </cell>
          <cell r="B299" t="str">
            <v>Manufacturing</v>
          </cell>
          <cell r="C299" t="str">
            <v>NA</v>
          </cell>
          <cell r="F299" t="str">
            <v>2821</v>
          </cell>
          <cell r="G299" t="str">
            <v>Manufacturing</v>
          </cell>
          <cell r="H299" t="str">
            <v>NA</v>
          </cell>
        </row>
        <row r="300">
          <cell r="A300" t="str">
            <v>2822</v>
          </cell>
          <cell r="B300" t="str">
            <v>Manufacturing</v>
          </cell>
          <cell r="C300" t="str">
            <v>NA</v>
          </cell>
          <cell r="F300" t="str">
            <v>2822</v>
          </cell>
          <cell r="G300" t="str">
            <v>Manufacturing</v>
          </cell>
          <cell r="H300" t="str">
            <v>NA</v>
          </cell>
        </row>
        <row r="301">
          <cell r="A301" t="str">
            <v>2823</v>
          </cell>
          <cell r="B301" t="str">
            <v>Manufacturing</v>
          </cell>
          <cell r="C301" t="str">
            <v>NA</v>
          </cell>
          <cell r="F301" t="str">
            <v>2823</v>
          </cell>
          <cell r="G301" t="str">
            <v>Manufacturing</v>
          </cell>
          <cell r="H301" t="str">
            <v>NA</v>
          </cell>
        </row>
        <row r="302">
          <cell r="A302" t="str">
            <v>2824</v>
          </cell>
          <cell r="B302" t="str">
            <v>Manufacturing</v>
          </cell>
          <cell r="C302" t="str">
            <v>NA</v>
          </cell>
          <cell r="F302" t="str">
            <v>2824</v>
          </cell>
          <cell r="G302" t="str">
            <v>Manufacturing</v>
          </cell>
          <cell r="H302" t="str">
            <v>NA</v>
          </cell>
        </row>
        <row r="303">
          <cell r="A303" t="str">
            <v>2833</v>
          </cell>
          <cell r="B303" t="str">
            <v>Manufacturing</v>
          </cell>
          <cell r="C303" t="str">
            <v>NA</v>
          </cell>
          <cell r="F303" t="str">
            <v>2833</v>
          </cell>
          <cell r="G303" t="str">
            <v>Manufacturing</v>
          </cell>
          <cell r="H303" t="str">
            <v>NA</v>
          </cell>
        </row>
        <row r="304">
          <cell r="A304" t="str">
            <v>2834</v>
          </cell>
          <cell r="B304" t="str">
            <v>Manufacturing</v>
          </cell>
          <cell r="C304" t="str">
            <v>NA</v>
          </cell>
          <cell r="F304" t="str">
            <v>2834</v>
          </cell>
          <cell r="G304" t="str">
            <v>Manufacturing</v>
          </cell>
          <cell r="H304" t="str">
            <v>NA</v>
          </cell>
        </row>
        <row r="305">
          <cell r="A305" t="str">
            <v>2835</v>
          </cell>
          <cell r="B305" t="str">
            <v>Manufacturing</v>
          </cell>
          <cell r="C305" t="str">
            <v>NA</v>
          </cell>
          <cell r="F305" t="str">
            <v>2835</v>
          </cell>
          <cell r="G305" t="str">
            <v>Manufacturing</v>
          </cell>
          <cell r="H305" t="str">
            <v>NA</v>
          </cell>
        </row>
        <row r="306">
          <cell r="A306" t="str">
            <v>2836</v>
          </cell>
          <cell r="B306" t="str">
            <v>Manufacturing</v>
          </cell>
          <cell r="C306" t="str">
            <v>NA</v>
          </cell>
          <cell r="F306" t="str">
            <v>2836</v>
          </cell>
          <cell r="G306" t="str">
            <v>Manufacturing</v>
          </cell>
          <cell r="H306" t="str">
            <v>NA</v>
          </cell>
        </row>
        <row r="307">
          <cell r="A307" t="str">
            <v>2841</v>
          </cell>
          <cell r="B307" t="str">
            <v>Manufacturing</v>
          </cell>
          <cell r="C307" t="str">
            <v>NA</v>
          </cell>
          <cell r="F307" t="str">
            <v>2841</v>
          </cell>
          <cell r="G307" t="str">
            <v>Manufacturing</v>
          </cell>
          <cell r="H307" t="str">
            <v>NA</v>
          </cell>
        </row>
        <row r="308">
          <cell r="A308" t="str">
            <v>2842</v>
          </cell>
          <cell r="B308" t="str">
            <v>Manufacturing</v>
          </cell>
          <cell r="C308" t="str">
            <v>NA</v>
          </cell>
          <cell r="F308" t="str">
            <v>2842</v>
          </cell>
          <cell r="G308" t="str">
            <v>Manufacturing</v>
          </cell>
          <cell r="H308" t="str">
            <v>NA</v>
          </cell>
        </row>
        <row r="309">
          <cell r="A309" t="str">
            <v>2843</v>
          </cell>
          <cell r="B309" t="str">
            <v>Manufacturing</v>
          </cell>
          <cell r="C309" t="str">
            <v>NA</v>
          </cell>
          <cell r="F309" t="str">
            <v>2843</v>
          </cell>
          <cell r="G309" t="str">
            <v>Manufacturing</v>
          </cell>
          <cell r="H309" t="str">
            <v>NA</v>
          </cell>
        </row>
        <row r="310">
          <cell r="A310" t="str">
            <v>2844</v>
          </cell>
          <cell r="B310" t="str">
            <v>Manufacturing</v>
          </cell>
          <cell r="C310" t="str">
            <v>NA</v>
          </cell>
          <cell r="F310" t="str">
            <v>2844</v>
          </cell>
          <cell r="G310" t="str">
            <v>Manufacturing</v>
          </cell>
          <cell r="H310" t="str">
            <v>NA</v>
          </cell>
        </row>
        <row r="311">
          <cell r="A311" t="str">
            <v>2851</v>
          </cell>
          <cell r="B311" t="str">
            <v>Manufacturing</v>
          </cell>
          <cell r="C311" t="str">
            <v>NA</v>
          </cell>
          <cell r="F311" t="str">
            <v>2851</v>
          </cell>
          <cell r="G311" t="str">
            <v>Manufacturing</v>
          </cell>
          <cell r="H311" t="str">
            <v>NA</v>
          </cell>
        </row>
        <row r="312">
          <cell r="A312" t="str">
            <v>2861</v>
          </cell>
          <cell r="B312" t="str">
            <v>Manufacturing</v>
          </cell>
          <cell r="C312" t="str">
            <v>NA</v>
          </cell>
          <cell r="F312" t="str">
            <v>2861</v>
          </cell>
          <cell r="G312" t="str">
            <v>Manufacturing</v>
          </cell>
          <cell r="H312" t="str">
            <v>NA</v>
          </cell>
        </row>
        <row r="313">
          <cell r="A313" t="str">
            <v>2865</v>
          </cell>
          <cell r="B313" t="str">
            <v>Manufacturing</v>
          </cell>
          <cell r="C313" t="str">
            <v>NA</v>
          </cell>
          <cell r="F313" t="str">
            <v>2865</v>
          </cell>
          <cell r="G313" t="str">
            <v>Manufacturing</v>
          </cell>
          <cell r="H313" t="str">
            <v>NA</v>
          </cell>
        </row>
        <row r="314">
          <cell r="A314" t="str">
            <v>2869</v>
          </cell>
          <cell r="B314" t="str">
            <v>Manufacturing</v>
          </cell>
          <cell r="C314" t="str">
            <v>NA</v>
          </cell>
          <cell r="F314" t="str">
            <v>2869</v>
          </cell>
          <cell r="G314" t="str">
            <v>Manufacturing</v>
          </cell>
          <cell r="H314" t="str">
            <v>NA</v>
          </cell>
        </row>
        <row r="315">
          <cell r="A315" t="str">
            <v>2873</v>
          </cell>
          <cell r="B315" t="str">
            <v>Manufacturing</v>
          </cell>
          <cell r="C315" t="str">
            <v>NA</v>
          </cell>
          <cell r="F315" t="str">
            <v>2873</v>
          </cell>
          <cell r="G315" t="str">
            <v>Manufacturing</v>
          </cell>
          <cell r="H315" t="str">
            <v>NA</v>
          </cell>
        </row>
        <row r="316">
          <cell r="A316" t="str">
            <v>2874</v>
          </cell>
          <cell r="B316" t="str">
            <v>Manufacturing</v>
          </cell>
          <cell r="C316" t="str">
            <v>NA</v>
          </cell>
          <cell r="F316" t="str">
            <v>2874</v>
          </cell>
          <cell r="G316" t="str">
            <v>Manufacturing</v>
          </cell>
          <cell r="H316" t="str">
            <v>NA</v>
          </cell>
        </row>
        <row r="317">
          <cell r="A317" t="str">
            <v>2875</v>
          </cell>
          <cell r="B317" t="str">
            <v>Manufacturing</v>
          </cell>
          <cell r="C317" t="str">
            <v>NA</v>
          </cell>
          <cell r="F317" t="str">
            <v>2875</v>
          </cell>
          <cell r="G317" t="str">
            <v>Manufacturing</v>
          </cell>
          <cell r="H317" t="str">
            <v>NA</v>
          </cell>
        </row>
        <row r="318">
          <cell r="A318" t="str">
            <v>2879</v>
          </cell>
          <cell r="B318" t="str">
            <v>Manufacturing</v>
          </cell>
          <cell r="C318" t="str">
            <v>NA</v>
          </cell>
          <cell r="F318" t="str">
            <v>2879</v>
          </cell>
          <cell r="G318" t="str">
            <v>Manufacturing</v>
          </cell>
          <cell r="H318" t="str">
            <v>NA</v>
          </cell>
        </row>
        <row r="319">
          <cell r="A319" t="str">
            <v>2891</v>
          </cell>
          <cell r="B319" t="str">
            <v>Manufacturing</v>
          </cell>
          <cell r="C319" t="str">
            <v>NA</v>
          </cell>
          <cell r="F319" t="str">
            <v>2891</v>
          </cell>
          <cell r="G319" t="str">
            <v>Manufacturing</v>
          </cell>
          <cell r="H319" t="str">
            <v>NA</v>
          </cell>
        </row>
        <row r="320">
          <cell r="A320" t="str">
            <v>2892</v>
          </cell>
          <cell r="B320" t="str">
            <v>Manufacturing</v>
          </cell>
          <cell r="C320" t="str">
            <v>NA</v>
          </cell>
          <cell r="F320" t="str">
            <v>2892</v>
          </cell>
          <cell r="G320" t="str">
            <v>Manufacturing</v>
          </cell>
          <cell r="H320" t="str">
            <v>NA</v>
          </cell>
        </row>
        <row r="321">
          <cell r="A321" t="str">
            <v>2893</v>
          </cell>
          <cell r="B321" t="str">
            <v>Manufacturing</v>
          </cell>
          <cell r="C321" t="str">
            <v>NA</v>
          </cell>
          <cell r="F321" t="str">
            <v>2893</v>
          </cell>
          <cell r="G321" t="str">
            <v>Manufacturing</v>
          </cell>
          <cell r="H321" t="str">
            <v>NA</v>
          </cell>
        </row>
        <row r="322">
          <cell r="A322" t="str">
            <v>2895</v>
          </cell>
          <cell r="B322" t="str">
            <v>Manufacturing</v>
          </cell>
          <cell r="C322" t="str">
            <v>NA</v>
          </cell>
          <cell r="F322" t="str">
            <v>2895</v>
          </cell>
          <cell r="G322" t="str">
            <v>Manufacturing</v>
          </cell>
          <cell r="H322" t="str">
            <v>NA</v>
          </cell>
        </row>
        <row r="323">
          <cell r="A323" t="str">
            <v>2899</v>
          </cell>
          <cell r="B323" t="str">
            <v>Manufacturing</v>
          </cell>
          <cell r="C323" t="str">
            <v>NA</v>
          </cell>
          <cell r="F323" t="str">
            <v>2899</v>
          </cell>
          <cell r="G323" t="str">
            <v>Manufacturing</v>
          </cell>
          <cell r="H323" t="str">
            <v>NA</v>
          </cell>
        </row>
        <row r="324">
          <cell r="A324" t="str">
            <v>2911</v>
          </cell>
          <cell r="B324" t="str">
            <v>Manufacturing</v>
          </cell>
          <cell r="C324" t="str">
            <v>NA</v>
          </cell>
          <cell r="F324" t="str">
            <v>2911</v>
          </cell>
          <cell r="G324" t="str">
            <v>Manufacturing</v>
          </cell>
          <cell r="H324" t="str">
            <v>NA</v>
          </cell>
        </row>
        <row r="325">
          <cell r="A325" t="str">
            <v>2951</v>
          </cell>
          <cell r="B325" t="str">
            <v>Manufacturing</v>
          </cell>
          <cell r="C325" t="str">
            <v>NA</v>
          </cell>
          <cell r="F325" t="str">
            <v>2951</v>
          </cell>
          <cell r="G325" t="str">
            <v>Manufacturing</v>
          </cell>
          <cell r="H325" t="str">
            <v>NA</v>
          </cell>
        </row>
        <row r="326">
          <cell r="A326" t="str">
            <v>2952</v>
          </cell>
          <cell r="B326" t="str">
            <v>Manufacturing</v>
          </cell>
          <cell r="C326" t="str">
            <v>NA</v>
          </cell>
          <cell r="F326" t="str">
            <v>2952</v>
          </cell>
          <cell r="G326" t="str">
            <v>Manufacturing</v>
          </cell>
          <cell r="H326" t="str">
            <v>NA</v>
          </cell>
        </row>
        <row r="327">
          <cell r="A327" t="str">
            <v>2992</v>
          </cell>
          <cell r="B327" t="str">
            <v>Manufacturing</v>
          </cell>
          <cell r="C327" t="str">
            <v>NA</v>
          </cell>
          <cell r="F327" t="str">
            <v>2992</v>
          </cell>
          <cell r="G327" t="str">
            <v>Manufacturing</v>
          </cell>
          <cell r="H327" t="str">
            <v>NA</v>
          </cell>
        </row>
        <row r="328">
          <cell r="A328" t="str">
            <v>2999</v>
          </cell>
          <cell r="B328" t="str">
            <v>Manufacturing</v>
          </cell>
          <cell r="C328" t="str">
            <v>NA</v>
          </cell>
          <cell r="F328" t="str">
            <v>2999</v>
          </cell>
          <cell r="G328" t="str">
            <v>Manufacturing</v>
          </cell>
          <cell r="H328" t="str">
            <v>NA</v>
          </cell>
        </row>
        <row r="329">
          <cell r="A329" t="str">
            <v>3011</v>
          </cell>
          <cell r="B329" t="str">
            <v>Manufacturing</v>
          </cell>
          <cell r="C329" t="str">
            <v>NA</v>
          </cell>
          <cell r="F329" t="str">
            <v>3011</v>
          </cell>
          <cell r="G329" t="str">
            <v>Manufacturing</v>
          </cell>
          <cell r="H329" t="str">
            <v>NA</v>
          </cell>
        </row>
        <row r="330">
          <cell r="A330" t="str">
            <v>3021</v>
          </cell>
          <cell r="B330" t="str">
            <v>Manufacturing</v>
          </cell>
          <cell r="C330" t="str">
            <v>NA</v>
          </cell>
          <cell r="F330" t="str">
            <v>3021</v>
          </cell>
          <cell r="G330" t="str">
            <v>Manufacturing</v>
          </cell>
          <cell r="H330" t="str">
            <v>NA</v>
          </cell>
        </row>
        <row r="331">
          <cell r="A331" t="str">
            <v>3052</v>
          </cell>
          <cell r="B331" t="str">
            <v>Manufacturing</v>
          </cell>
          <cell r="C331" t="str">
            <v>NA</v>
          </cell>
          <cell r="F331" t="str">
            <v>3052</v>
          </cell>
          <cell r="G331" t="str">
            <v>Manufacturing</v>
          </cell>
          <cell r="H331" t="str">
            <v>NA</v>
          </cell>
        </row>
        <row r="332">
          <cell r="A332" t="str">
            <v>3053</v>
          </cell>
          <cell r="B332" t="str">
            <v>Manufacturing</v>
          </cell>
          <cell r="C332" t="str">
            <v>NA</v>
          </cell>
          <cell r="F332" t="str">
            <v>3053</v>
          </cell>
          <cell r="G332" t="str">
            <v>Manufacturing</v>
          </cell>
          <cell r="H332" t="str">
            <v>NA</v>
          </cell>
        </row>
        <row r="333">
          <cell r="A333" t="str">
            <v>3061</v>
          </cell>
          <cell r="B333" t="str">
            <v>Manufacturing</v>
          </cell>
          <cell r="C333" t="str">
            <v>NA</v>
          </cell>
          <cell r="F333" t="str">
            <v>3061</v>
          </cell>
          <cell r="G333" t="str">
            <v>Manufacturing</v>
          </cell>
          <cell r="H333" t="str">
            <v>NA</v>
          </cell>
        </row>
        <row r="334">
          <cell r="A334" t="str">
            <v>3069</v>
          </cell>
          <cell r="B334" t="str">
            <v>Manufacturing</v>
          </cell>
          <cell r="C334" t="str">
            <v>NA</v>
          </cell>
          <cell r="F334" t="str">
            <v>3069</v>
          </cell>
          <cell r="G334" t="str">
            <v>Manufacturing</v>
          </cell>
          <cell r="H334" t="str">
            <v>NA</v>
          </cell>
        </row>
        <row r="335">
          <cell r="A335" t="str">
            <v>3081</v>
          </cell>
          <cell r="B335" t="str">
            <v>Manufacturing</v>
          </cell>
          <cell r="C335" t="str">
            <v>NA</v>
          </cell>
          <cell r="F335" t="str">
            <v>3081</v>
          </cell>
          <cell r="G335" t="str">
            <v>Manufacturing</v>
          </cell>
          <cell r="H335" t="str">
            <v>NA</v>
          </cell>
        </row>
        <row r="336">
          <cell r="A336" t="str">
            <v>3082</v>
          </cell>
          <cell r="B336" t="str">
            <v>Manufacturing</v>
          </cell>
          <cell r="C336" t="str">
            <v>NA</v>
          </cell>
          <cell r="F336" t="str">
            <v>3082</v>
          </cell>
          <cell r="G336" t="str">
            <v>Manufacturing</v>
          </cell>
          <cell r="H336" t="str">
            <v>NA</v>
          </cell>
        </row>
        <row r="337">
          <cell r="A337" t="str">
            <v>3083</v>
          </cell>
          <cell r="B337" t="str">
            <v>Manufacturing</v>
          </cell>
          <cell r="C337" t="str">
            <v>NA</v>
          </cell>
          <cell r="F337" t="str">
            <v>3083</v>
          </cell>
          <cell r="G337" t="str">
            <v>Manufacturing</v>
          </cell>
          <cell r="H337" t="str">
            <v>NA</v>
          </cell>
        </row>
        <row r="338">
          <cell r="A338" t="str">
            <v>3084</v>
          </cell>
          <cell r="B338" t="str">
            <v>Manufacturing</v>
          </cell>
          <cell r="C338" t="str">
            <v>NA</v>
          </cell>
          <cell r="F338" t="str">
            <v>3084</v>
          </cell>
          <cell r="G338" t="str">
            <v>Manufacturing</v>
          </cell>
          <cell r="H338" t="str">
            <v>NA</v>
          </cell>
        </row>
        <row r="339">
          <cell r="A339" t="str">
            <v>3085</v>
          </cell>
          <cell r="B339" t="str">
            <v>Manufacturing</v>
          </cell>
          <cell r="C339" t="str">
            <v>NA</v>
          </cell>
          <cell r="F339" t="str">
            <v>3085</v>
          </cell>
          <cell r="G339" t="str">
            <v>Manufacturing</v>
          </cell>
          <cell r="H339" t="str">
            <v>NA</v>
          </cell>
        </row>
        <row r="340">
          <cell r="A340" t="str">
            <v>3086</v>
          </cell>
          <cell r="B340" t="str">
            <v>Manufacturing</v>
          </cell>
          <cell r="C340" t="str">
            <v>NA</v>
          </cell>
          <cell r="F340" t="str">
            <v>3086</v>
          </cell>
          <cell r="G340" t="str">
            <v>Manufacturing</v>
          </cell>
          <cell r="H340" t="str">
            <v>NA</v>
          </cell>
        </row>
        <row r="341">
          <cell r="A341" t="str">
            <v>3087</v>
          </cell>
          <cell r="B341" t="str">
            <v>Manufacturing</v>
          </cell>
          <cell r="C341" t="str">
            <v>NA</v>
          </cell>
          <cell r="F341" t="str">
            <v>3087</v>
          </cell>
          <cell r="G341" t="str">
            <v>Manufacturing</v>
          </cell>
          <cell r="H341" t="str">
            <v>NA</v>
          </cell>
        </row>
        <row r="342">
          <cell r="A342" t="str">
            <v>3088</v>
          </cell>
          <cell r="B342" t="str">
            <v>Manufacturing</v>
          </cell>
          <cell r="C342" t="str">
            <v>NA</v>
          </cell>
          <cell r="F342" t="str">
            <v>3088</v>
          </cell>
          <cell r="G342" t="str">
            <v>Manufacturing</v>
          </cell>
          <cell r="H342" t="str">
            <v>NA</v>
          </cell>
        </row>
        <row r="343">
          <cell r="A343" t="str">
            <v>3089</v>
          </cell>
          <cell r="B343" t="str">
            <v>Manufacturing</v>
          </cell>
          <cell r="C343" t="str">
            <v>NA</v>
          </cell>
          <cell r="F343" t="str">
            <v>3089</v>
          </cell>
          <cell r="G343" t="str">
            <v>Manufacturing</v>
          </cell>
          <cell r="H343" t="str">
            <v>NA</v>
          </cell>
        </row>
        <row r="344">
          <cell r="A344" t="str">
            <v>3111</v>
          </cell>
          <cell r="B344" t="str">
            <v>Manufacturing</v>
          </cell>
          <cell r="C344" t="str">
            <v>NA</v>
          </cell>
          <cell r="F344" t="str">
            <v>3111</v>
          </cell>
          <cell r="G344" t="str">
            <v>Manufacturing</v>
          </cell>
          <cell r="H344" t="str">
            <v>NA</v>
          </cell>
        </row>
        <row r="345">
          <cell r="A345" t="str">
            <v>3131</v>
          </cell>
          <cell r="B345" t="str">
            <v>Manufacturing</v>
          </cell>
          <cell r="C345" t="str">
            <v>NA</v>
          </cell>
          <cell r="F345" t="str">
            <v>3131</v>
          </cell>
          <cell r="G345" t="str">
            <v>Manufacturing</v>
          </cell>
          <cell r="H345" t="str">
            <v>NA</v>
          </cell>
        </row>
        <row r="346">
          <cell r="A346" t="str">
            <v>3142</v>
          </cell>
          <cell r="B346" t="str">
            <v>Manufacturing</v>
          </cell>
          <cell r="C346" t="str">
            <v>NA</v>
          </cell>
          <cell r="F346" t="str">
            <v>3142</v>
          </cell>
          <cell r="G346" t="str">
            <v>Manufacturing</v>
          </cell>
          <cell r="H346" t="str">
            <v>NA</v>
          </cell>
        </row>
        <row r="347">
          <cell r="A347" t="str">
            <v>3143</v>
          </cell>
          <cell r="B347" t="str">
            <v>Manufacturing</v>
          </cell>
          <cell r="C347" t="str">
            <v>NA</v>
          </cell>
          <cell r="F347" t="str">
            <v>3143</v>
          </cell>
          <cell r="G347" t="str">
            <v>Manufacturing</v>
          </cell>
          <cell r="H347" t="str">
            <v>NA</v>
          </cell>
        </row>
        <row r="348">
          <cell r="A348" t="str">
            <v>3144</v>
          </cell>
          <cell r="B348" t="str">
            <v>Manufacturing</v>
          </cell>
          <cell r="C348" t="str">
            <v>NA</v>
          </cell>
          <cell r="F348" t="str">
            <v>3144</v>
          </cell>
          <cell r="G348" t="str">
            <v>Manufacturing</v>
          </cell>
          <cell r="H348" t="str">
            <v>NA</v>
          </cell>
        </row>
        <row r="349">
          <cell r="A349" t="str">
            <v>3149</v>
          </cell>
          <cell r="B349" t="str">
            <v>Manufacturing</v>
          </cell>
          <cell r="C349" t="str">
            <v>NA</v>
          </cell>
          <cell r="F349" t="str">
            <v>3149</v>
          </cell>
          <cell r="G349" t="str">
            <v>Manufacturing</v>
          </cell>
          <cell r="H349" t="str">
            <v>NA</v>
          </cell>
        </row>
        <row r="350">
          <cell r="A350" t="str">
            <v>3151</v>
          </cell>
          <cell r="B350" t="str">
            <v>Manufacturing</v>
          </cell>
          <cell r="C350" t="str">
            <v>NA</v>
          </cell>
          <cell r="F350" t="str">
            <v>3151</v>
          </cell>
          <cell r="G350" t="str">
            <v>Manufacturing</v>
          </cell>
          <cell r="H350" t="str">
            <v>NA</v>
          </cell>
        </row>
        <row r="351">
          <cell r="A351" t="str">
            <v>3161</v>
          </cell>
          <cell r="B351" t="str">
            <v>Manufacturing</v>
          </cell>
          <cell r="C351" t="str">
            <v>NA</v>
          </cell>
          <cell r="F351" t="str">
            <v>3161</v>
          </cell>
          <cell r="G351" t="str">
            <v>Manufacturing</v>
          </cell>
          <cell r="H351" t="str">
            <v>NA</v>
          </cell>
        </row>
        <row r="352">
          <cell r="A352" t="str">
            <v>3171</v>
          </cell>
          <cell r="B352" t="str">
            <v>Manufacturing</v>
          </cell>
          <cell r="C352" t="str">
            <v>NA</v>
          </cell>
          <cell r="F352" t="str">
            <v>3171</v>
          </cell>
          <cell r="G352" t="str">
            <v>Manufacturing</v>
          </cell>
          <cell r="H352" t="str">
            <v>NA</v>
          </cell>
        </row>
        <row r="353">
          <cell r="A353" t="str">
            <v>3172</v>
          </cell>
          <cell r="B353" t="str">
            <v>Manufacturing</v>
          </cell>
          <cell r="C353" t="str">
            <v>NA</v>
          </cell>
          <cell r="F353" t="str">
            <v>3172</v>
          </cell>
          <cell r="G353" t="str">
            <v>Manufacturing</v>
          </cell>
          <cell r="H353" t="str">
            <v>NA</v>
          </cell>
        </row>
        <row r="354">
          <cell r="A354" t="str">
            <v>3199</v>
          </cell>
          <cell r="B354" t="str">
            <v>Manufacturing</v>
          </cell>
          <cell r="C354" t="str">
            <v>NA</v>
          </cell>
          <cell r="F354" t="str">
            <v>3199</v>
          </cell>
          <cell r="G354" t="str">
            <v>Manufacturing</v>
          </cell>
          <cell r="H354" t="str">
            <v>NA</v>
          </cell>
        </row>
        <row r="355">
          <cell r="A355" t="str">
            <v>3211</v>
          </cell>
          <cell r="B355" t="str">
            <v>Manufacturing</v>
          </cell>
          <cell r="C355" t="str">
            <v>NA</v>
          </cell>
          <cell r="F355" t="str">
            <v>3211</v>
          </cell>
          <cell r="G355" t="str">
            <v>Manufacturing</v>
          </cell>
          <cell r="H355" t="str">
            <v>NA</v>
          </cell>
        </row>
        <row r="356">
          <cell r="A356" t="str">
            <v>3221</v>
          </cell>
          <cell r="B356" t="str">
            <v>Manufacturing</v>
          </cell>
          <cell r="C356" t="str">
            <v>NA</v>
          </cell>
          <cell r="F356" t="str">
            <v>3221</v>
          </cell>
          <cell r="G356" t="str">
            <v>Manufacturing</v>
          </cell>
          <cell r="H356" t="str">
            <v>NA</v>
          </cell>
        </row>
        <row r="357">
          <cell r="A357" t="str">
            <v>3229</v>
          </cell>
          <cell r="B357" t="str">
            <v>Manufacturing</v>
          </cell>
          <cell r="C357" t="str">
            <v>NA</v>
          </cell>
          <cell r="F357" t="str">
            <v>3229</v>
          </cell>
          <cell r="G357" t="str">
            <v>Manufacturing</v>
          </cell>
          <cell r="H357" t="str">
            <v>NA</v>
          </cell>
        </row>
        <row r="358">
          <cell r="A358" t="str">
            <v>3231</v>
          </cell>
          <cell r="B358" t="str">
            <v>Manufacturing</v>
          </cell>
          <cell r="C358" t="str">
            <v>NA</v>
          </cell>
          <cell r="F358" t="str">
            <v>3231</v>
          </cell>
          <cell r="G358" t="str">
            <v>Manufacturing</v>
          </cell>
          <cell r="H358" t="str">
            <v>NA</v>
          </cell>
        </row>
        <row r="359">
          <cell r="A359" t="str">
            <v>3241</v>
          </cell>
          <cell r="B359" t="str">
            <v>Manufacturing</v>
          </cell>
          <cell r="C359" t="str">
            <v>NA</v>
          </cell>
          <cell r="F359" t="str">
            <v>3241</v>
          </cell>
          <cell r="G359" t="str">
            <v>Manufacturing</v>
          </cell>
          <cell r="H359" t="str">
            <v>NA</v>
          </cell>
        </row>
        <row r="360">
          <cell r="A360" t="str">
            <v>3251</v>
          </cell>
          <cell r="B360" t="str">
            <v>Manufacturing</v>
          </cell>
          <cell r="C360" t="str">
            <v>NA</v>
          </cell>
          <cell r="F360" t="str">
            <v>3251</v>
          </cell>
          <cell r="G360" t="str">
            <v>Manufacturing</v>
          </cell>
          <cell r="H360" t="str">
            <v>NA</v>
          </cell>
        </row>
        <row r="361">
          <cell r="A361" t="str">
            <v>3253</v>
          </cell>
          <cell r="B361" t="str">
            <v>Manufacturing</v>
          </cell>
          <cell r="C361" t="str">
            <v>NA</v>
          </cell>
          <cell r="F361" t="str">
            <v>3253</v>
          </cell>
          <cell r="G361" t="str">
            <v>Manufacturing</v>
          </cell>
          <cell r="H361" t="str">
            <v>NA</v>
          </cell>
        </row>
        <row r="362">
          <cell r="A362" t="str">
            <v>3255</v>
          </cell>
          <cell r="B362" t="str">
            <v>Manufacturing</v>
          </cell>
          <cell r="C362" t="str">
            <v>NA</v>
          </cell>
          <cell r="F362" t="str">
            <v>3255</v>
          </cell>
          <cell r="G362" t="str">
            <v>Manufacturing</v>
          </cell>
          <cell r="H362" t="str">
            <v>NA</v>
          </cell>
        </row>
        <row r="363">
          <cell r="A363" t="str">
            <v>3259</v>
          </cell>
          <cell r="B363" t="str">
            <v>Manufacturing</v>
          </cell>
          <cell r="C363" t="str">
            <v>NA</v>
          </cell>
          <cell r="F363" t="str">
            <v>3259</v>
          </cell>
          <cell r="G363" t="str">
            <v>Manufacturing</v>
          </cell>
          <cell r="H363" t="str">
            <v>NA</v>
          </cell>
        </row>
        <row r="364">
          <cell r="A364" t="str">
            <v>3261</v>
          </cell>
          <cell r="B364" t="str">
            <v>Manufacturing</v>
          </cell>
          <cell r="C364" t="str">
            <v>NA</v>
          </cell>
          <cell r="F364" t="str">
            <v>3261</v>
          </cell>
          <cell r="G364" t="str">
            <v>Manufacturing</v>
          </cell>
          <cell r="H364" t="str">
            <v>NA</v>
          </cell>
        </row>
        <row r="365">
          <cell r="A365" t="str">
            <v>3262</v>
          </cell>
          <cell r="B365" t="str">
            <v>Manufacturing</v>
          </cell>
          <cell r="C365" t="str">
            <v>NA</v>
          </cell>
          <cell r="F365" t="str">
            <v>3262</v>
          </cell>
          <cell r="G365" t="str">
            <v>Manufacturing</v>
          </cell>
          <cell r="H365" t="str">
            <v>NA</v>
          </cell>
        </row>
        <row r="366">
          <cell r="A366" t="str">
            <v>3263</v>
          </cell>
          <cell r="B366" t="str">
            <v>Manufacturing</v>
          </cell>
          <cell r="C366" t="str">
            <v>NA</v>
          </cell>
          <cell r="F366" t="str">
            <v>3263</v>
          </cell>
          <cell r="G366" t="str">
            <v>Manufacturing</v>
          </cell>
          <cell r="H366" t="str">
            <v>NA</v>
          </cell>
        </row>
        <row r="367">
          <cell r="A367" t="str">
            <v>3264</v>
          </cell>
          <cell r="B367" t="str">
            <v>Manufacturing</v>
          </cell>
          <cell r="C367" t="str">
            <v>NA</v>
          </cell>
          <cell r="F367" t="str">
            <v>3264</v>
          </cell>
          <cell r="G367" t="str">
            <v>Manufacturing</v>
          </cell>
          <cell r="H367" t="str">
            <v>NA</v>
          </cell>
        </row>
        <row r="368">
          <cell r="A368" t="str">
            <v>3269</v>
          </cell>
          <cell r="B368" t="str">
            <v>Manufacturing</v>
          </cell>
          <cell r="C368" t="str">
            <v>NA</v>
          </cell>
          <cell r="F368" t="str">
            <v>3269</v>
          </cell>
          <cell r="G368" t="str">
            <v>Manufacturing</v>
          </cell>
          <cell r="H368" t="str">
            <v>NA</v>
          </cell>
        </row>
        <row r="369">
          <cell r="A369" t="str">
            <v>3271</v>
          </cell>
          <cell r="B369" t="str">
            <v>Manufacturing</v>
          </cell>
          <cell r="C369" t="str">
            <v>NA</v>
          </cell>
          <cell r="F369" t="str">
            <v>3271</v>
          </cell>
          <cell r="G369" t="str">
            <v>Manufacturing</v>
          </cell>
          <cell r="H369" t="str">
            <v>NA</v>
          </cell>
        </row>
        <row r="370">
          <cell r="A370" t="str">
            <v>3272</v>
          </cell>
          <cell r="B370" t="str">
            <v>Manufacturing</v>
          </cell>
          <cell r="C370" t="str">
            <v>NA</v>
          </cell>
          <cell r="F370" t="str">
            <v>3272</v>
          </cell>
          <cell r="G370" t="str">
            <v>Manufacturing</v>
          </cell>
          <cell r="H370" t="str">
            <v>NA</v>
          </cell>
        </row>
        <row r="371">
          <cell r="A371" t="str">
            <v>3273</v>
          </cell>
          <cell r="B371" t="str">
            <v>Manufacturing</v>
          </cell>
          <cell r="C371" t="str">
            <v>NA</v>
          </cell>
          <cell r="F371" t="str">
            <v>3273</v>
          </cell>
          <cell r="G371" t="str">
            <v>Manufacturing</v>
          </cell>
          <cell r="H371" t="str">
            <v>NA</v>
          </cell>
        </row>
        <row r="372">
          <cell r="A372" t="str">
            <v>3274</v>
          </cell>
          <cell r="B372" t="str">
            <v>Manufacturing</v>
          </cell>
          <cell r="C372" t="str">
            <v>NA</v>
          </cell>
          <cell r="F372" t="str">
            <v>3274</v>
          </cell>
          <cell r="G372" t="str">
            <v>Manufacturing</v>
          </cell>
          <cell r="H372" t="str">
            <v>NA</v>
          </cell>
        </row>
        <row r="373">
          <cell r="A373" t="str">
            <v>3275</v>
          </cell>
          <cell r="B373" t="str">
            <v>Manufacturing</v>
          </cell>
          <cell r="C373" t="str">
            <v>NA</v>
          </cell>
          <cell r="F373" t="str">
            <v>3275</v>
          </cell>
          <cell r="G373" t="str">
            <v>Manufacturing</v>
          </cell>
          <cell r="H373" t="str">
            <v>NA</v>
          </cell>
        </row>
        <row r="374">
          <cell r="A374" t="str">
            <v>3281</v>
          </cell>
          <cell r="B374" t="str">
            <v>Manufacturing</v>
          </cell>
          <cell r="C374" t="str">
            <v>NA</v>
          </cell>
          <cell r="F374" t="str">
            <v>3281</v>
          </cell>
          <cell r="G374" t="str">
            <v>Manufacturing</v>
          </cell>
          <cell r="H374" t="str">
            <v>NA</v>
          </cell>
        </row>
        <row r="375">
          <cell r="A375" t="str">
            <v>3291</v>
          </cell>
          <cell r="B375" t="str">
            <v>Manufacturing</v>
          </cell>
          <cell r="C375" t="str">
            <v>NA</v>
          </cell>
          <cell r="F375" t="str">
            <v>3291</v>
          </cell>
          <cell r="G375" t="str">
            <v>Manufacturing</v>
          </cell>
          <cell r="H375" t="str">
            <v>NA</v>
          </cell>
        </row>
        <row r="376">
          <cell r="A376" t="str">
            <v>3292</v>
          </cell>
          <cell r="B376" t="str">
            <v>Manufacturing</v>
          </cell>
          <cell r="C376" t="str">
            <v>NA</v>
          </cell>
          <cell r="F376" t="str">
            <v>3292</v>
          </cell>
          <cell r="G376" t="str">
            <v>Manufacturing</v>
          </cell>
          <cell r="H376" t="str">
            <v>NA</v>
          </cell>
        </row>
        <row r="377">
          <cell r="A377" t="str">
            <v>3295</v>
          </cell>
          <cell r="B377" t="str">
            <v>Manufacturing</v>
          </cell>
          <cell r="C377" t="str">
            <v>NA</v>
          </cell>
          <cell r="F377" t="str">
            <v>3295</v>
          </cell>
          <cell r="G377" t="str">
            <v>Manufacturing</v>
          </cell>
          <cell r="H377" t="str">
            <v>NA</v>
          </cell>
        </row>
        <row r="378">
          <cell r="A378" t="str">
            <v>3296</v>
          </cell>
          <cell r="B378" t="str">
            <v>Manufacturing</v>
          </cell>
          <cell r="C378" t="str">
            <v>NA</v>
          </cell>
          <cell r="F378" t="str">
            <v>3296</v>
          </cell>
          <cell r="G378" t="str">
            <v>Manufacturing</v>
          </cell>
          <cell r="H378" t="str">
            <v>NA</v>
          </cell>
        </row>
        <row r="379">
          <cell r="A379" t="str">
            <v>3297</v>
          </cell>
          <cell r="B379" t="str">
            <v>Manufacturing</v>
          </cell>
          <cell r="C379" t="str">
            <v>NA</v>
          </cell>
          <cell r="F379" t="str">
            <v>3297</v>
          </cell>
          <cell r="G379" t="str">
            <v>Manufacturing</v>
          </cell>
          <cell r="H379" t="str">
            <v>NA</v>
          </cell>
        </row>
        <row r="380">
          <cell r="A380" t="str">
            <v>3299</v>
          </cell>
          <cell r="B380" t="str">
            <v>Manufacturing</v>
          </cell>
          <cell r="C380" t="str">
            <v>NA</v>
          </cell>
          <cell r="F380" t="str">
            <v>3299</v>
          </cell>
          <cell r="G380" t="str">
            <v>Manufacturing</v>
          </cell>
          <cell r="H380" t="str">
            <v>NA</v>
          </cell>
        </row>
        <row r="381">
          <cell r="A381" t="str">
            <v>3312</v>
          </cell>
          <cell r="B381" t="str">
            <v>Manufacturing</v>
          </cell>
          <cell r="C381" t="str">
            <v>NA</v>
          </cell>
          <cell r="F381" t="str">
            <v>3312</v>
          </cell>
          <cell r="G381" t="str">
            <v>Manufacturing</v>
          </cell>
          <cell r="H381" t="str">
            <v>NA</v>
          </cell>
        </row>
        <row r="382">
          <cell r="A382" t="str">
            <v>3313</v>
          </cell>
          <cell r="B382" t="str">
            <v>Manufacturing</v>
          </cell>
          <cell r="C382" t="str">
            <v>NA</v>
          </cell>
          <cell r="F382" t="str">
            <v>3313</v>
          </cell>
          <cell r="G382" t="str">
            <v>Manufacturing</v>
          </cell>
          <cell r="H382" t="str">
            <v>NA</v>
          </cell>
        </row>
        <row r="383">
          <cell r="A383" t="str">
            <v>3315</v>
          </cell>
          <cell r="B383" t="str">
            <v>Manufacturing</v>
          </cell>
          <cell r="C383" t="str">
            <v>NA</v>
          </cell>
          <cell r="F383" t="str">
            <v>3315</v>
          </cell>
          <cell r="G383" t="str">
            <v>Manufacturing</v>
          </cell>
          <cell r="H383" t="str">
            <v>NA</v>
          </cell>
        </row>
        <row r="384">
          <cell r="A384" t="str">
            <v>3316</v>
          </cell>
          <cell r="B384" t="str">
            <v>Manufacturing</v>
          </cell>
          <cell r="C384" t="str">
            <v>NA</v>
          </cell>
          <cell r="F384" t="str">
            <v>3316</v>
          </cell>
          <cell r="G384" t="str">
            <v>Manufacturing</v>
          </cell>
          <cell r="H384" t="str">
            <v>NA</v>
          </cell>
        </row>
        <row r="385">
          <cell r="A385" t="str">
            <v>3317</v>
          </cell>
          <cell r="B385" t="str">
            <v>Manufacturing</v>
          </cell>
          <cell r="C385" t="str">
            <v>NA</v>
          </cell>
          <cell r="F385" t="str">
            <v>3317</v>
          </cell>
          <cell r="G385" t="str">
            <v>Manufacturing</v>
          </cell>
          <cell r="H385" t="str">
            <v>NA</v>
          </cell>
        </row>
        <row r="386">
          <cell r="A386" t="str">
            <v>3321</v>
          </cell>
          <cell r="B386" t="str">
            <v>Manufacturing</v>
          </cell>
          <cell r="C386" t="str">
            <v>NA</v>
          </cell>
          <cell r="F386" t="str">
            <v>3321</v>
          </cell>
          <cell r="G386" t="str">
            <v>Manufacturing</v>
          </cell>
          <cell r="H386" t="str">
            <v>NA</v>
          </cell>
        </row>
        <row r="387">
          <cell r="A387" t="str">
            <v>3322</v>
          </cell>
          <cell r="B387" t="str">
            <v>Manufacturing</v>
          </cell>
          <cell r="C387" t="str">
            <v>NA</v>
          </cell>
          <cell r="F387" t="str">
            <v>3322</v>
          </cell>
          <cell r="G387" t="str">
            <v>Manufacturing</v>
          </cell>
          <cell r="H387" t="str">
            <v>NA</v>
          </cell>
        </row>
        <row r="388">
          <cell r="A388" t="str">
            <v>3324</v>
          </cell>
          <cell r="B388" t="str">
            <v>Manufacturing</v>
          </cell>
          <cell r="C388" t="str">
            <v>NA</v>
          </cell>
          <cell r="F388" t="str">
            <v>3324</v>
          </cell>
          <cell r="G388" t="str">
            <v>Manufacturing</v>
          </cell>
          <cell r="H388" t="str">
            <v>NA</v>
          </cell>
        </row>
        <row r="389">
          <cell r="A389" t="str">
            <v>3325</v>
          </cell>
          <cell r="B389" t="str">
            <v>Manufacturing</v>
          </cell>
          <cell r="C389" t="str">
            <v>NA</v>
          </cell>
          <cell r="F389" t="str">
            <v>3325</v>
          </cell>
          <cell r="G389" t="str">
            <v>Manufacturing</v>
          </cell>
          <cell r="H389" t="str">
            <v>NA</v>
          </cell>
        </row>
        <row r="390">
          <cell r="A390" t="str">
            <v>3331</v>
          </cell>
          <cell r="B390" t="str">
            <v>Manufacturing</v>
          </cell>
          <cell r="C390" t="str">
            <v>NA</v>
          </cell>
          <cell r="F390" t="str">
            <v>3331</v>
          </cell>
          <cell r="G390" t="str">
            <v>Manufacturing</v>
          </cell>
          <cell r="H390" t="str">
            <v>NA</v>
          </cell>
        </row>
        <row r="391">
          <cell r="A391" t="str">
            <v>3334</v>
          </cell>
          <cell r="B391" t="str">
            <v>Manufacturing</v>
          </cell>
          <cell r="C391" t="str">
            <v>NA</v>
          </cell>
          <cell r="F391" t="str">
            <v>3334</v>
          </cell>
          <cell r="G391" t="str">
            <v>Manufacturing</v>
          </cell>
          <cell r="H391" t="str">
            <v>NA</v>
          </cell>
        </row>
        <row r="392">
          <cell r="A392" t="str">
            <v>3339</v>
          </cell>
          <cell r="B392" t="str">
            <v>Manufacturing</v>
          </cell>
          <cell r="C392" t="str">
            <v>NA</v>
          </cell>
          <cell r="F392" t="str">
            <v>3339</v>
          </cell>
          <cell r="G392" t="str">
            <v>Manufacturing</v>
          </cell>
          <cell r="H392" t="str">
            <v>NA</v>
          </cell>
        </row>
        <row r="393">
          <cell r="A393" t="str">
            <v>3341</v>
          </cell>
          <cell r="B393" t="str">
            <v>Manufacturing</v>
          </cell>
          <cell r="C393" t="str">
            <v>NA</v>
          </cell>
          <cell r="F393" t="str">
            <v>3341</v>
          </cell>
          <cell r="G393" t="str">
            <v>Manufacturing</v>
          </cell>
          <cell r="H393" t="str">
            <v>NA</v>
          </cell>
        </row>
        <row r="394">
          <cell r="A394" t="str">
            <v>3351</v>
          </cell>
          <cell r="B394" t="str">
            <v>Manufacturing</v>
          </cell>
          <cell r="C394" t="str">
            <v>NA</v>
          </cell>
          <cell r="F394" t="str">
            <v>3351</v>
          </cell>
          <cell r="G394" t="str">
            <v>Manufacturing</v>
          </cell>
          <cell r="H394" t="str">
            <v>NA</v>
          </cell>
        </row>
        <row r="395">
          <cell r="A395" t="str">
            <v>3353</v>
          </cell>
          <cell r="B395" t="str">
            <v>Manufacturing</v>
          </cell>
          <cell r="C395" t="str">
            <v>NA</v>
          </cell>
          <cell r="F395" t="str">
            <v>3353</v>
          </cell>
          <cell r="G395" t="str">
            <v>Manufacturing</v>
          </cell>
          <cell r="H395" t="str">
            <v>NA</v>
          </cell>
        </row>
        <row r="396">
          <cell r="A396" t="str">
            <v>3354</v>
          </cell>
          <cell r="B396" t="str">
            <v>Manufacturing</v>
          </cell>
          <cell r="C396" t="str">
            <v>NA</v>
          </cell>
          <cell r="F396" t="str">
            <v>3354</v>
          </cell>
          <cell r="G396" t="str">
            <v>Manufacturing</v>
          </cell>
          <cell r="H396" t="str">
            <v>NA</v>
          </cell>
        </row>
        <row r="397">
          <cell r="A397" t="str">
            <v>3355</v>
          </cell>
          <cell r="B397" t="str">
            <v>Manufacturing</v>
          </cell>
          <cell r="C397" t="str">
            <v>NA</v>
          </cell>
          <cell r="F397" t="str">
            <v>3355</v>
          </cell>
          <cell r="G397" t="str">
            <v>Manufacturing</v>
          </cell>
          <cell r="H397" t="str">
            <v>NA</v>
          </cell>
        </row>
        <row r="398">
          <cell r="A398" t="str">
            <v>3356</v>
          </cell>
          <cell r="B398" t="str">
            <v>Manufacturing</v>
          </cell>
          <cell r="C398" t="str">
            <v>NA</v>
          </cell>
          <cell r="F398" t="str">
            <v>3356</v>
          </cell>
          <cell r="G398" t="str">
            <v>Manufacturing</v>
          </cell>
          <cell r="H398" t="str">
            <v>NA</v>
          </cell>
        </row>
        <row r="399">
          <cell r="A399" t="str">
            <v>3357</v>
          </cell>
          <cell r="B399" t="str">
            <v>Manufacturing</v>
          </cell>
          <cell r="C399" t="str">
            <v>NA</v>
          </cell>
          <cell r="F399" t="str">
            <v>3357</v>
          </cell>
          <cell r="G399" t="str">
            <v>Manufacturing</v>
          </cell>
          <cell r="H399" t="str">
            <v>NA</v>
          </cell>
        </row>
        <row r="400">
          <cell r="A400" t="str">
            <v>3363</v>
          </cell>
          <cell r="B400" t="str">
            <v>Manufacturing</v>
          </cell>
          <cell r="C400" t="str">
            <v>NA</v>
          </cell>
          <cell r="F400" t="str">
            <v>3363</v>
          </cell>
          <cell r="G400" t="str">
            <v>Manufacturing</v>
          </cell>
          <cell r="H400" t="str">
            <v>NA</v>
          </cell>
        </row>
        <row r="401">
          <cell r="A401" t="str">
            <v>3364</v>
          </cell>
          <cell r="B401" t="str">
            <v>Manufacturing</v>
          </cell>
          <cell r="C401" t="str">
            <v>NA</v>
          </cell>
          <cell r="F401" t="str">
            <v>3364</v>
          </cell>
          <cell r="G401" t="str">
            <v>Manufacturing</v>
          </cell>
          <cell r="H401" t="str">
            <v>NA</v>
          </cell>
        </row>
        <row r="402">
          <cell r="A402" t="str">
            <v>3365</v>
          </cell>
          <cell r="B402" t="str">
            <v>Manufacturing</v>
          </cell>
          <cell r="C402" t="str">
            <v>NA</v>
          </cell>
          <cell r="F402" t="str">
            <v>3365</v>
          </cell>
          <cell r="G402" t="str">
            <v>Manufacturing</v>
          </cell>
          <cell r="H402" t="str">
            <v>NA</v>
          </cell>
        </row>
        <row r="403">
          <cell r="A403" t="str">
            <v>3366</v>
          </cell>
          <cell r="B403" t="str">
            <v>Manufacturing</v>
          </cell>
          <cell r="C403" t="str">
            <v>NA</v>
          </cell>
          <cell r="F403" t="str">
            <v>3366</v>
          </cell>
          <cell r="G403" t="str">
            <v>Manufacturing</v>
          </cell>
          <cell r="H403" t="str">
            <v>NA</v>
          </cell>
        </row>
        <row r="404">
          <cell r="A404" t="str">
            <v>3369</v>
          </cell>
          <cell r="B404" t="str">
            <v>Manufacturing</v>
          </cell>
          <cell r="C404" t="str">
            <v>NA</v>
          </cell>
          <cell r="F404" t="str">
            <v>3369</v>
          </cell>
          <cell r="G404" t="str">
            <v>Manufacturing</v>
          </cell>
          <cell r="H404" t="str">
            <v>NA</v>
          </cell>
        </row>
        <row r="405">
          <cell r="A405" t="str">
            <v>3398</v>
          </cell>
          <cell r="B405" t="str">
            <v>Manufacturing</v>
          </cell>
          <cell r="C405" t="str">
            <v>NA</v>
          </cell>
          <cell r="F405" t="str">
            <v>3398</v>
          </cell>
          <cell r="G405" t="str">
            <v>Manufacturing</v>
          </cell>
          <cell r="H405" t="str">
            <v>NA</v>
          </cell>
        </row>
        <row r="406">
          <cell r="A406" t="str">
            <v>3399</v>
          </cell>
          <cell r="B406" t="str">
            <v>Manufacturing</v>
          </cell>
          <cell r="C406" t="str">
            <v>NA</v>
          </cell>
          <cell r="F406" t="str">
            <v>3399</v>
          </cell>
          <cell r="G406" t="str">
            <v>Manufacturing</v>
          </cell>
          <cell r="H406" t="str">
            <v>NA</v>
          </cell>
        </row>
        <row r="407">
          <cell r="A407" t="str">
            <v>3411</v>
          </cell>
          <cell r="B407" t="str">
            <v>Manufacturing</v>
          </cell>
          <cell r="C407" t="str">
            <v>NA</v>
          </cell>
          <cell r="F407" t="str">
            <v>3411</v>
          </cell>
          <cell r="G407" t="str">
            <v>Manufacturing</v>
          </cell>
          <cell r="H407" t="str">
            <v>NA</v>
          </cell>
        </row>
        <row r="408">
          <cell r="A408" t="str">
            <v>3412</v>
          </cell>
          <cell r="B408" t="str">
            <v>Manufacturing</v>
          </cell>
          <cell r="C408" t="str">
            <v>NA</v>
          </cell>
          <cell r="F408" t="str">
            <v>3412</v>
          </cell>
          <cell r="G408" t="str">
            <v>Manufacturing</v>
          </cell>
          <cell r="H408" t="str">
            <v>NA</v>
          </cell>
        </row>
        <row r="409">
          <cell r="A409" t="str">
            <v>3421</v>
          </cell>
          <cell r="B409" t="str">
            <v>Manufacturing</v>
          </cell>
          <cell r="C409" t="str">
            <v>NA</v>
          </cell>
          <cell r="F409" t="str">
            <v>3421</v>
          </cell>
          <cell r="G409" t="str">
            <v>Manufacturing</v>
          </cell>
          <cell r="H409" t="str">
            <v>NA</v>
          </cell>
        </row>
        <row r="410">
          <cell r="A410" t="str">
            <v>3423</v>
          </cell>
          <cell r="B410" t="str">
            <v>Manufacturing</v>
          </cell>
          <cell r="C410" t="str">
            <v>NA</v>
          </cell>
          <cell r="F410" t="str">
            <v>3423</v>
          </cell>
          <cell r="G410" t="str">
            <v>Manufacturing</v>
          </cell>
          <cell r="H410" t="str">
            <v>NA</v>
          </cell>
        </row>
        <row r="411">
          <cell r="A411" t="str">
            <v>3425</v>
          </cell>
          <cell r="B411" t="str">
            <v>Manufacturing</v>
          </cell>
          <cell r="C411" t="str">
            <v>NA</v>
          </cell>
          <cell r="F411" t="str">
            <v>3425</v>
          </cell>
          <cell r="G411" t="str">
            <v>Manufacturing</v>
          </cell>
          <cell r="H411" t="str">
            <v>NA</v>
          </cell>
        </row>
        <row r="412">
          <cell r="A412" t="str">
            <v>3429</v>
          </cell>
          <cell r="B412" t="str">
            <v>Manufacturing</v>
          </cell>
          <cell r="C412" t="str">
            <v>NA</v>
          </cell>
          <cell r="F412" t="str">
            <v>3429</v>
          </cell>
          <cell r="G412" t="str">
            <v>Manufacturing</v>
          </cell>
          <cell r="H412" t="str">
            <v>NA</v>
          </cell>
        </row>
        <row r="413">
          <cell r="A413" t="str">
            <v>3431</v>
          </cell>
          <cell r="B413" t="str">
            <v>Manufacturing</v>
          </cell>
          <cell r="C413" t="str">
            <v>NA</v>
          </cell>
          <cell r="F413" t="str">
            <v>3431</v>
          </cell>
          <cell r="G413" t="str">
            <v>Manufacturing</v>
          </cell>
          <cell r="H413" t="str">
            <v>NA</v>
          </cell>
        </row>
        <row r="414">
          <cell r="A414" t="str">
            <v>3432</v>
          </cell>
          <cell r="B414" t="str">
            <v>Manufacturing</v>
          </cell>
          <cell r="C414" t="str">
            <v>NA</v>
          </cell>
          <cell r="F414" t="str">
            <v>3432</v>
          </cell>
          <cell r="G414" t="str">
            <v>Manufacturing</v>
          </cell>
          <cell r="H414" t="str">
            <v>NA</v>
          </cell>
        </row>
        <row r="415">
          <cell r="A415" t="str">
            <v>3433</v>
          </cell>
          <cell r="B415" t="str">
            <v>Manufacturing</v>
          </cell>
          <cell r="C415" t="str">
            <v>NA</v>
          </cell>
          <cell r="F415" t="str">
            <v>3433</v>
          </cell>
          <cell r="G415" t="str">
            <v>Manufacturing</v>
          </cell>
          <cell r="H415" t="str">
            <v>NA</v>
          </cell>
        </row>
        <row r="416">
          <cell r="A416" t="str">
            <v>3441</v>
          </cell>
          <cell r="B416" t="str">
            <v>Manufacturing</v>
          </cell>
          <cell r="C416" t="str">
            <v>NA</v>
          </cell>
          <cell r="F416" t="str">
            <v>3441</v>
          </cell>
          <cell r="G416" t="str">
            <v>Manufacturing</v>
          </cell>
          <cell r="H416" t="str">
            <v>NA</v>
          </cell>
        </row>
        <row r="417">
          <cell r="A417" t="str">
            <v>3442</v>
          </cell>
          <cell r="B417" t="str">
            <v>Manufacturing</v>
          </cell>
          <cell r="C417" t="str">
            <v>NA</v>
          </cell>
          <cell r="F417" t="str">
            <v>3442</v>
          </cell>
          <cell r="G417" t="str">
            <v>Manufacturing</v>
          </cell>
          <cell r="H417" t="str">
            <v>NA</v>
          </cell>
        </row>
        <row r="418">
          <cell r="A418" t="str">
            <v>3443</v>
          </cell>
          <cell r="B418" t="str">
            <v>Manufacturing</v>
          </cell>
          <cell r="C418" t="str">
            <v>NA</v>
          </cell>
          <cell r="F418" t="str">
            <v>3443</v>
          </cell>
          <cell r="G418" t="str">
            <v>Manufacturing</v>
          </cell>
          <cell r="H418" t="str">
            <v>NA</v>
          </cell>
        </row>
        <row r="419">
          <cell r="A419" t="str">
            <v>3444</v>
          </cell>
          <cell r="B419" t="str">
            <v>Manufacturing</v>
          </cell>
          <cell r="C419" t="str">
            <v>NA</v>
          </cell>
          <cell r="F419" t="str">
            <v>3444</v>
          </cell>
          <cell r="G419" t="str">
            <v>Manufacturing</v>
          </cell>
          <cell r="H419" t="str">
            <v>NA</v>
          </cell>
        </row>
        <row r="420">
          <cell r="A420" t="str">
            <v>3446</v>
          </cell>
          <cell r="B420" t="str">
            <v>Manufacturing</v>
          </cell>
          <cell r="C420" t="str">
            <v>NA</v>
          </cell>
          <cell r="F420" t="str">
            <v>3446</v>
          </cell>
          <cell r="G420" t="str">
            <v>Manufacturing</v>
          </cell>
          <cell r="H420" t="str">
            <v>NA</v>
          </cell>
        </row>
        <row r="421">
          <cell r="A421" t="str">
            <v>3448</v>
          </cell>
          <cell r="B421" t="str">
            <v>Manufacturing</v>
          </cell>
          <cell r="C421" t="str">
            <v>NA</v>
          </cell>
          <cell r="F421" t="str">
            <v>3448</v>
          </cell>
          <cell r="G421" t="str">
            <v>Manufacturing</v>
          </cell>
          <cell r="H421" t="str">
            <v>NA</v>
          </cell>
        </row>
        <row r="422">
          <cell r="A422" t="str">
            <v>3449</v>
          </cell>
          <cell r="B422" t="str">
            <v>Manufacturing</v>
          </cell>
          <cell r="C422" t="str">
            <v>NA</v>
          </cell>
          <cell r="F422" t="str">
            <v>3449</v>
          </cell>
          <cell r="G422" t="str">
            <v>Manufacturing</v>
          </cell>
          <cell r="H422" t="str">
            <v>NA</v>
          </cell>
        </row>
        <row r="423">
          <cell r="A423" t="str">
            <v>3451</v>
          </cell>
          <cell r="B423" t="str">
            <v>Manufacturing</v>
          </cell>
          <cell r="C423" t="str">
            <v>NA</v>
          </cell>
          <cell r="F423" t="str">
            <v>3451</v>
          </cell>
          <cell r="G423" t="str">
            <v>Manufacturing</v>
          </cell>
          <cell r="H423" t="str">
            <v>NA</v>
          </cell>
        </row>
        <row r="424">
          <cell r="A424" t="str">
            <v>3452</v>
          </cell>
          <cell r="B424" t="str">
            <v>Manufacturing</v>
          </cell>
          <cell r="C424" t="str">
            <v>NA</v>
          </cell>
          <cell r="F424" t="str">
            <v>3452</v>
          </cell>
          <cell r="G424" t="str">
            <v>Manufacturing</v>
          </cell>
          <cell r="H424" t="str">
            <v>NA</v>
          </cell>
        </row>
        <row r="425">
          <cell r="A425" t="str">
            <v>3462</v>
          </cell>
          <cell r="B425" t="str">
            <v>Manufacturing</v>
          </cell>
          <cell r="C425" t="str">
            <v>NA</v>
          </cell>
          <cell r="F425" t="str">
            <v>3462</v>
          </cell>
          <cell r="G425" t="str">
            <v>Manufacturing</v>
          </cell>
          <cell r="H425" t="str">
            <v>NA</v>
          </cell>
        </row>
        <row r="426">
          <cell r="A426" t="str">
            <v>3463</v>
          </cell>
          <cell r="B426" t="str">
            <v>Manufacturing</v>
          </cell>
          <cell r="C426" t="str">
            <v>NA</v>
          </cell>
          <cell r="F426" t="str">
            <v>3463</v>
          </cell>
          <cell r="G426" t="str">
            <v>Manufacturing</v>
          </cell>
          <cell r="H426" t="str">
            <v>NA</v>
          </cell>
        </row>
        <row r="427">
          <cell r="A427" t="str">
            <v>3465</v>
          </cell>
          <cell r="B427" t="str">
            <v>Manufacturing</v>
          </cell>
          <cell r="C427" t="str">
            <v>NA</v>
          </cell>
          <cell r="F427" t="str">
            <v>3465</v>
          </cell>
          <cell r="G427" t="str">
            <v>Manufacturing</v>
          </cell>
          <cell r="H427" t="str">
            <v>NA</v>
          </cell>
        </row>
        <row r="428">
          <cell r="A428" t="str">
            <v>3466</v>
          </cell>
          <cell r="B428" t="str">
            <v>Manufacturing</v>
          </cell>
          <cell r="C428" t="str">
            <v>NA</v>
          </cell>
          <cell r="F428" t="str">
            <v>3466</v>
          </cell>
          <cell r="G428" t="str">
            <v>Manufacturing</v>
          </cell>
          <cell r="H428" t="str">
            <v>NA</v>
          </cell>
        </row>
        <row r="429">
          <cell r="A429" t="str">
            <v>3469</v>
          </cell>
          <cell r="B429" t="str">
            <v>Manufacturing</v>
          </cell>
          <cell r="C429" t="str">
            <v>NA</v>
          </cell>
          <cell r="F429" t="str">
            <v>3469</v>
          </cell>
          <cell r="G429" t="str">
            <v>Manufacturing</v>
          </cell>
          <cell r="H429" t="str">
            <v>NA</v>
          </cell>
        </row>
        <row r="430">
          <cell r="A430" t="str">
            <v>3471</v>
          </cell>
          <cell r="B430" t="str">
            <v>Manufacturing</v>
          </cell>
          <cell r="C430" t="str">
            <v>NA</v>
          </cell>
          <cell r="F430" t="str">
            <v>3471</v>
          </cell>
          <cell r="G430" t="str">
            <v>Manufacturing</v>
          </cell>
          <cell r="H430" t="str">
            <v>NA</v>
          </cell>
        </row>
        <row r="431">
          <cell r="A431" t="str">
            <v>3479</v>
          </cell>
          <cell r="B431" t="str">
            <v>Manufacturing</v>
          </cell>
          <cell r="C431" t="str">
            <v>NA</v>
          </cell>
          <cell r="F431" t="str">
            <v>3479</v>
          </cell>
          <cell r="G431" t="str">
            <v>Manufacturing</v>
          </cell>
          <cell r="H431" t="str">
            <v>NA</v>
          </cell>
        </row>
        <row r="432">
          <cell r="A432" t="str">
            <v>3482</v>
          </cell>
          <cell r="B432" t="str">
            <v>Manufacturing</v>
          </cell>
          <cell r="C432" t="str">
            <v>NA</v>
          </cell>
          <cell r="F432" t="str">
            <v>3482</v>
          </cell>
          <cell r="G432" t="str">
            <v>Manufacturing</v>
          </cell>
          <cell r="H432" t="str">
            <v>NA</v>
          </cell>
        </row>
        <row r="433">
          <cell r="A433" t="str">
            <v>3483</v>
          </cell>
          <cell r="B433" t="str">
            <v>Manufacturing</v>
          </cell>
          <cell r="C433" t="str">
            <v>NA</v>
          </cell>
          <cell r="F433" t="str">
            <v>3483</v>
          </cell>
          <cell r="G433" t="str">
            <v>Manufacturing</v>
          </cell>
          <cell r="H433" t="str">
            <v>NA</v>
          </cell>
        </row>
        <row r="434">
          <cell r="A434" t="str">
            <v>3484</v>
          </cell>
          <cell r="B434" t="str">
            <v>Manufacturing</v>
          </cell>
          <cell r="C434" t="str">
            <v>NA</v>
          </cell>
          <cell r="F434" t="str">
            <v>3484</v>
          </cell>
          <cell r="G434" t="str">
            <v>Manufacturing</v>
          </cell>
          <cell r="H434" t="str">
            <v>NA</v>
          </cell>
        </row>
        <row r="435">
          <cell r="A435" t="str">
            <v>3489</v>
          </cell>
          <cell r="B435" t="str">
            <v>Manufacturing</v>
          </cell>
          <cell r="C435" t="str">
            <v>NA</v>
          </cell>
          <cell r="F435" t="str">
            <v>3489</v>
          </cell>
          <cell r="G435" t="str">
            <v>Manufacturing</v>
          </cell>
          <cell r="H435" t="str">
            <v>NA</v>
          </cell>
        </row>
        <row r="436">
          <cell r="A436" t="str">
            <v>3491</v>
          </cell>
          <cell r="B436" t="str">
            <v>Manufacturing</v>
          </cell>
          <cell r="C436" t="str">
            <v>NA</v>
          </cell>
          <cell r="F436" t="str">
            <v>3491</v>
          </cell>
          <cell r="G436" t="str">
            <v>Manufacturing</v>
          </cell>
          <cell r="H436" t="str">
            <v>NA</v>
          </cell>
        </row>
        <row r="437">
          <cell r="A437" t="str">
            <v>3492</v>
          </cell>
          <cell r="B437" t="str">
            <v>Manufacturing</v>
          </cell>
          <cell r="C437" t="str">
            <v>NA</v>
          </cell>
          <cell r="F437" t="str">
            <v>3492</v>
          </cell>
          <cell r="G437" t="str">
            <v>Manufacturing</v>
          </cell>
          <cell r="H437" t="str">
            <v>NA</v>
          </cell>
        </row>
        <row r="438">
          <cell r="A438" t="str">
            <v>3493</v>
          </cell>
          <cell r="B438" t="str">
            <v>Manufacturing</v>
          </cell>
          <cell r="C438" t="str">
            <v>NA</v>
          </cell>
          <cell r="F438" t="str">
            <v>3493</v>
          </cell>
          <cell r="G438" t="str">
            <v>Manufacturing</v>
          </cell>
          <cell r="H438" t="str">
            <v>NA</v>
          </cell>
        </row>
        <row r="439">
          <cell r="A439" t="str">
            <v>3494</v>
          </cell>
          <cell r="B439" t="str">
            <v>Manufacturing</v>
          </cell>
          <cell r="C439" t="str">
            <v>NA</v>
          </cell>
          <cell r="F439" t="str">
            <v>3494</v>
          </cell>
          <cell r="G439" t="str">
            <v>Manufacturing</v>
          </cell>
          <cell r="H439" t="str">
            <v>NA</v>
          </cell>
        </row>
        <row r="440">
          <cell r="A440" t="str">
            <v>3495</v>
          </cell>
          <cell r="B440" t="str">
            <v>Manufacturing</v>
          </cell>
          <cell r="C440" t="str">
            <v>NA</v>
          </cell>
          <cell r="F440" t="str">
            <v>3495</v>
          </cell>
          <cell r="G440" t="str">
            <v>Manufacturing</v>
          </cell>
          <cell r="H440" t="str">
            <v>NA</v>
          </cell>
        </row>
        <row r="441">
          <cell r="A441" t="str">
            <v>3496</v>
          </cell>
          <cell r="B441" t="str">
            <v>Manufacturing</v>
          </cell>
          <cell r="C441" t="str">
            <v>NA</v>
          </cell>
          <cell r="F441" t="str">
            <v>3496</v>
          </cell>
          <cell r="G441" t="str">
            <v>Manufacturing</v>
          </cell>
          <cell r="H441" t="str">
            <v>NA</v>
          </cell>
        </row>
        <row r="442">
          <cell r="A442" t="str">
            <v>3497</v>
          </cell>
          <cell r="B442" t="str">
            <v>Manufacturing</v>
          </cell>
          <cell r="C442" t="str">
            <v>NA</v>
          </cell>
          <cell r="F442" t="str">
            <v>3497</v>
          </cell>
          <cell r="G442" t="str">
            <v>Manufacturing</v>
          </cell>
          <cell r="H442" t="str">
            <v>NA</v>
          </cell>
        </row>
        <row r="443">
          <cell r="A443" t="str">
            <v>3498</v>
          </cell>
          <cell r="B443" t="str">
            <v>Manufacturing</v>
          </cell>
          <cell r="C443" t="str">
            <v>NA</v>
          </cell>
          <cell r="F443" t="str">
            <v>3498</v>
          </cell>
          <cell r="G443" t="str">
            <v>Manufacturing</v>
          </cell>
          <cell r="H443" t="str">
            <v>NA</v>
          </cell>
        </row>
        <row r="444">
          <cell r="A444" t="str">
            <v>3499</v>
          </cell>
          <cell r="B444" t="str">
            <v>Manufacturing</v>
          </cell>
          <cell r="C444" t="str">
            <v>NA</v>
          </cell>
          <cell r="F444" t="str">
            <v>3499</v>
          </cell>
          <cell r="G444" t="str">
            <v>Manufacturing</v>
          </cell>
          <cell r="H444" t="str">
            <v>NA</v>
          </cell>
        </row>
        <row r="445">
          <cell r="A445" t="str">
            <v>3511</v>
          </cell>
          <cell r="B445" t="str">
            <v>Manufacturing</v>
          </cell>
          <cell r="C445" t="str">
            <v>NA</v>
          </cell>
          <cell r="F445" t="str">
            <v>3511</v>
          </cell>
          <cell r="G445" t="str">
            <v>Manufacturing</v>
          </cell>
          <cell r="H445" t="str">
            <v>NA</v>
          </cell>
        </row>
        <row r="446">
          <cell r="A446" t="str">
            <v>3519</v>
          </cell>
          <cell r="B446" t="str">
            <v>Manufacturing</v>
          </cell>
          <cell r="C446" t="str">
            <v>NA</v>
          </cell>
          <cell r="F446" t="str">
            <v>3519</v>
          </cell>
          <cell r="G446" t="str">
            <v>Manufacturing</v>
          </cell>
          <cell r="H446" t="str">
            <v>NA</v>
          </cell>
        </row>
        <row r="447">
          <cell r="A447" t="str">
            <v>3523</v>
          </cell>
          <cell r="B447" t="str">
            <v>Manufacturing</v>
          </cell>
          <cell r="C447" t="str">
            <v>NA</v>
          </cell>
          <cell r="F447" t="str">
            <v>3523</v>
          </cell>
          <cell r="G447" t="str">
            <v>Manufacturing</v>
          </cell>
          <cell r="H447" t="str">
            <v>NA</v>
          </cell>
        </row>
        <row r="448">
          <cell r="A448" t="str">
            <v>3524</v>
          </cell>
          <cell r="B448" t="str">
            <v>Manufacturing</v>
          </cell>
          <cell r="C448" t="str">
            <v>NA</v>
          </cell>
          <cell r="F448" t="str">
            <v>3524</v>
          </cell>
          <cell r="G448" t="str">
            <v>Manufacturing</v>
          </cell>
          <cell r="H448" t="str">
            <v>NA</v>
          </cell>
        </row>
        <row r="449">
          <cell r="A449" t="str">
            <v>3531</v>
          </cell>
          <cell r="B449" t="str">
            <v>Manufacturing</v>
          </cell>
          <cell r="C449" t="str">
            <v>NA</v>
          </cell>
          <cell r="F449" t="str">
            <v>3531</v>
          </cell>
          <cell r="G449" t="str">
            <v>Manufacturing</v>
          </cell>
          <cell r="H449" t="str">
            <v>NA</v>
          </cell>
        </row>
        <row r="450">
          <cell r="A450" t="str">
            <v>3532</v>
          </cell>
          <cell r="B450" t="str">
            <v>Manufacturing</v>
          </cell>
          <cell r="C450" t="str">
            <v>NA</v>
          </cell>
          <cell r="F450" t="str">
            <v>3532</v>
          </cell>
          <cell r="G450" t="str">
            <v>Manufacturing</v>
          </cell>
          <cell r="H450" t="str">
            <v>NA</v>
          </cell>
        </row>
        <row r="451">
          <cell r="A451" t="str">
            <v>3533</v>
          </cell>
          <cell r="B451" t="str">
            <v>Manufacturing</v>
          </cell>
          <cell r="C451" t="str">
            <v>NA</v>
          </cell>
          <cell r="F451" t="str">
            <v>3533</v>
          </cell>
          <cell r="G451" t="str">
            <v>Manufacturing</v>
          </cell>
          <cell r="H451" t="str">
            <v>NA</v>
          </cell>
        </row>
        <row r="452">
          <cell r="A452" t="str">
            <v>3534</v>
          </cell>
          <cell r="B452" t="str">
            <v>Manufacturing</v>
          </cell>
          <cell r="C452" t="str">
            <v>NA</v>
          </cell>
          <cell r="F452" t="str">
            <v>3534</v>
          </cell>
          <cell r="G452" t="str">
            <v>Manufacturing</v>
          </cell>
          <cell r="H452" t="str">
            <v>NA</v>
          </cell>
        </row>
        <row r="453">
          <cell r="A453" t="str">
            <v>3535</v>
          </cell>
          <cell r="B453" t="str">
            <v>Manufacturing</v>
          </cell>
          <cell r="C453" t="str">
            <v>NA</v>
          </cell>
          <cell r="F453" t="str">
            <v>3535</v>
          </cell>
          <cell r="G453" t="str">
            <v>Manufacturing</v>
          </cell>
          <cell r="H453" t="str">
            <v>NA</v>
          </cell>
        </row>
        <row r="454">
          <cell r="A454" t="str">
            <v>3536</v>
          </cell>
          <cell r="B454" t="str">
            <v>Manufacturing</v>
          </cell>
          <cell r="C454" t="str">
            <v>NA</v>
          </cell>
          <cell r="F454" t="str">
            <v>3536</v>
          </cell>
          <cell r="G454" t="str">
            <v>Manufacturing</v>
          </cell>
          <cell r="H454" t="str">
            <v>NA</v>
          </cell>
        </row>
        <row r="455">
          <cell r="A455" t="str">
            <v>3537</v>
          </cell>
          <cell r="B455" t="str">
            <v>Manufacturing</v>
          </cell>
          <cell r="C455" t="str">
            <v>NA</v>
          </cell>
          <cell r="F455" t="str">
            <v>3537</v>
          </cell>
          <cell r="G455" t="str">
            <v>Manufacturing</v>
          </cell>
          <cell r="H455" t="str">
            <v>NA</v>
          </cell>
        </row>
        <row r="456">
          <cell r="A456" t="str">
            <v>3541</v>
          </cell>
          <cell r="B456" t="str">
            <v>Manufacturing</v>
          </cell>
          <cell r="C456" t="str">
            <v>NA</v>
          </cell>
          <cell r="F456" t="str">
            <v>3541</v>
          </cell>
          <cell r="G456" t="str">
            <v>Manufacturing</v>
          </cell>
          <cell r="H456" t="str">
            <v>NA</v>
          </cell>
        </row>
        <row r="457">
          <cell r="A457" t="str">
            <v>3542</v>
          </cell>
          <cell r="B457" t="str">
            <v>Manufacturing</v>
          </cell>
          <cell r="C457" t="str">
            <v>NA</v>
          </cell>
          <cell r="F457" t="str">
            <v>3542</v>
          </cell>
          <cell r="G457" t="str">
            <v>Manufacturing</v>
          </cell>
          <cell r="H457" t="str">
            <v>NA</v>
          </cell>
        </row>
        <row r="458">
          <cell r="A458" t="str">
            <v>3543</v>
          </cell>
          <cell r="B458" t="str">
            <v>Manufacturing</v>
          </cell>
          <cell r="C458" t="str">
            <v>NA</v>
          </cell>
          <cell r="F458" t="str">
            <v>3543</v>
          </cell>
          <cell r="G458" t="str">
            <v>Manufacturing</v>
          </cell>
          <cell r="H458" t="str">
            <v>NA</v>
          </cell>
        </row>
        <row r="459">
          <cell r="A459" t="str">
            <v>3544</v>
          </cell>
          <cell r="B459" t="str">
            <v>Manufacturing</v>
          </cell>
          <cell r="C459" t="str">
            <v>NA</v>
          </cell>
          <cell r="F459" t="str">
            <v>3544</v>
          </cell>
          <cell r="G459" t="str">
            <v>Manufacturing</v>
          </cell>
          <cell r="H459" t="str">
            <v>NA</v>
          </cell>
        </row>
        <row r="460">
          <cell r="A460" t="str">
            <v>3545</v>
          </cell>
          <cell r="B460" t="str">
            <v>Manufacturing</v>
          </cell>
          <cell r="C460" t="str">
            <v>NA</v>
          </cell>
          <cell r="F460" t="str">
            <v>3545</v>
          </cell>
          <cell r="G460" t="str">
            <v>Manufacturing</v>
          </cell>
          <cell r="H460" t="str">
            <v>NA</v>
          </cell>
        </row>
        <row r="461">
          <cell r="A461" t="str">
            <v>3546</v>
          </cell>
          <cell r="B461" t="str">
            <v>Manufacturing</v>
          </cell>
          <cell r="C461" t="str">
            <v>NA</v>
          </cell>
          <cell r="F461" t="str">
            <v>3546</v>
          </cell>
          <cell r="G461" t="str">
            <v>Manufacturing</v>
          </cell>
          <cell r="H461" t="str">
            <v>NA</v>
          </cell>
        </row>
        <row r="462">
          <cell r="A462" t="str">
            <v>3547</v>
          </cell>
          <cell r="B462" t="str">
            <v>Manufacturing</v>
          </cell>
          <cell r="C462" t="str">
            <v>NA</v>
          </cell>
          <cell r="F462" t="str">
            <v>3547</v>
          </cell>
          <cell r="G462" t="str">
            <v>Manufacturing</v>
          </cell>
          <cell r="H462" t="str">
            <v>NA</v>
          </cell>
        </row>
        <row r="463">
          <cell r="A463" t="str">
            <v>3548</v>
          </cell>
          <cell r="B463" t="str">
            <v>Manufacturing</v>
          </cell>
          <cell r="C463" t="str">
            <v>NA</v>
          </cell>
          <cell r="F463" t="str">
            <v>3548</v>
          </cell>
          <cell r="G463" t="str">
            <v>Manufacturing</v>
          </cell>
          <cell r="H463" t="str">
            <v>NA</v>
          </cell>
        </row>
        <row r="464">
          <cell r="A464" t="str">
            <v>3549</v>
          </cell>
          <cell r="B464" t="str">
            <v>Manufacturing</v>
          </cell>
          <cell r="C464" t="str">
            <v>NA</v>
          </cell>
          <cell r="F464" t="str">
            <v>3549</v>
          </cell>
          <cell r="G464" t="str">
            <v>Manufacturing</v>
          </cell>
          <cell r="H464" t="str">
            <v>NA</v>
          </cell>
        </row>
        <row r="465">
          <cell r="A465" t="str">
            <v>3552</v>
          </cell>
          <cell r="B465" t="str">
            <v>Manufacturing</v>
          </cell>
          <cell r="C465" t="str">
            <v>NA</v>
          </cell>
          <cell r="F465" t="str">
            <v>3552</v>
          </cell>
          <cell r="G465" t="str">
            <v>Manufacturing</v>
          </cell>
          <cell r="H465" t="str">
            <v>NA</v>
          </cell>
        </row>
        <row r="466">
          <cell r="A466" t="str">
            <v>3553</v>
          </cell>
          <cell r="B466" t="str">
            <v>Manufacturing</v>
          </cell>
          <cell r="C466" t="str">
            <v>NA</v>
          </cell>
          <cell r="F466" t="str">
            <v>3553</v>
          </cell>
          <cell r="G466" t="str">
            <v>Manufacturing</v>
          </cell>
          <cell r="H466" t="str">
            <v>NA</v>
          </cell>
        </row>
        <row r="467">
          <cell r="A467" t="str">
            <v>3554</v>
          </cell>
          <cell r="B467" t="str">
            <v>Manufacturing</v>
          </cell>
          <cell r="C467" t="str">
            <v>NA</v>
          </cell>
          <cell r="F467" t="str">
            <v>3554</v>
          </cell>
          <cell r="G467" t="str">
            <v>Manufacturing</v>
          </cell>
          <cell r="H467" t="str">
            <v>NA</v>
          </cell>
        </row>
        <row r="468">
          <cell r="A468" t="str">
            <v>3555</v>
          </cell>
          <cell r="B468" t="str">
            <v>Manufacturing</v>
          </cell>
          <cell r="C468" t="str">
            <v>NA</v>
          </cell>
          <cell r="F468" t="str">
            <v>3555</v>
          </cell>
          <cell r="G468" t="str">
            <v>Manufacturing</v>
          </cell>
          <cell r="H468" t="str">
            <v>NA</v>
          </cell>
        </row>
        <row r="469">
          <cell r="A469" t="str">
            <v>3556</v>
          </cell>
          <cell r="B469" t="str">
            <v>Manufacturing</v>
          </cell>
          <cell r="C469" t="str">
            <v>NA</v>
          </cell>
          <cell r="F469" t="str">
            <v>3556</v>
          </cell>
          <cell r="G469" t="str">
            <v>Manufacturing</v>
          </cell>
          <cell r="H469" t="str">
            <v>NA</v>
          </cell>
        </row>
        <row r="470">
          <cell r="A470" t="str">
            <v>3559</v>
          </cell>
          <cell r="B470" t="str">
            <v>Manufacturing</v>
          </cell>
          <cell r="C470" t="str">
            <v>NA</v>
          </cell>
          <cell r="F470" t="str">
            <v>3559</v>
          </cell>
          <cell r="G470" t="str">
            <v>Manufacturing</v>
          </cell>
          <cell r="H470" t="str">
            <v>NA</v>
          </cell>
        </row>
        <row r="471">
          <cell r="A471" t="str">
            <v>3561</v>
          </cell>
          <cell r="B471" t="str">
            <v>Manufacturing</v>
          </cell>
          <cell r="C471" t="str">
            <v>NA</v>
          </cell>
          <cell r="F471" t="str">
            <v>3561</v>
          </cell>
          <cell r="G471" t="str">
            <v>Manufacturing</v>
          </cell>
          <cell r="H471" t="str">
            <v>NA</v>
          </cell>
        </row>
        <row r="472">
          <cell r="A472" t="str">
            <v>3562</v>
          </cell>
          <cell r="B472" t="str">
            <v>Manufacturing</v>
          </cell>
          <cell r="C472" t="str">
            <v>NA</v>
          </cell>
          <cell r="F472" t="str">
            <v>3562</v>
          </cell>
          <cell r="G472" t="str">
            <v>Manufacturing</v>
          </cell>
          <cell r="H472" t="str">
            <v>NA</v>
          </cell>
        </row>
        <row r="473">
          <cell r="A473" t="str">
            <v>3563</v>
          </cell>
          <cell r="B473" t="str">
            <v>Manufacturing</v>
          </cell>
          <cell r="C473" t="str">
            <v>NA</v>
          </cell>
          <cell r="F473" t="str">
            <v>3563</v>
          </cell>
          <cell r="G473" t="str">
            <v>Manufacturing</v>
          </cell>
          <cell r="H473" t="str">
            <v>NA</v>
          </cell>
        </row>
        <row r="474">
          <cell r="A474" t="str">
            <v>3564</v>
          </cell>
          <cell r="B474" t="str">
            <v>Manufacturing</v>
          </cell>
          <cell r="C474" t="str">
            <v>NA</v>
          </cell>
          <cell r="F474" t="str">
            <v>3564</v>
          </cell>
          <cell r="G474" t="str">
            <v>Manufacturing</v>
          </cell>
          <cell r="H474" t="str">
            <v>NA</v>
          </cell>
        </row>
        <row r="475">
          <cell r="A475" t="str">
            <v>3565</v>
          </cell>
          <cell r="B475" t="str">
            <v>Manufacturing</v>
          </cell>
          <cell r="C475" t="str">
            <v>NA</v>
          </cell>
          <cell r="F475" t="str">
            <v>3565</v>
          </cell>
          <cell r="G475" t="str">
            <v>Manufacturing</v>
          </cell>
          <cell r="H475" t="str">
            <v>NA</v>
          </cell>
        </row>
        <row r="476">
          <cell r="A476" t="str">
            <v>3566</v>
          </cell>
          <cell r="B476" t="str">
            <v>Manufacturing</v>
          </cell>
          <cell r="C476" t="str">
            <v>NA</v>
          </cell>
          <cell r="F476" t="str">
            <v>3566</v>
          </cell>
          <cell r="G476" t="str">
            <v>Manufacturing</v>
          </cell>
          <cell r="H476" t="str">
            <v>NA</v>
          </cell>
        </row>
        <row r="477">
          <cell r="A477" t="str">
            <v>3567</v>
          </cell>
          <cell r="B477" t="str">
            <v>Manufacturing</v>
          </cell>
          <cell r="C477" t="str">
            <v>NA</v>
          </cell>
          <cell r="F477" t="str">
            <v>3567</v>
          </cell>
          <cell r="G477" t="str">
            <v>Manufacturing</v>
          </cell>
          <cell r="H477" t="str">
            <v>NA</v>
          </cell>
        </row>
        <row r="478">
          <cell r="A478" t="str">
            <v>3568</v>
          </cell>
          <cell r="B478" t="str">
            <v>Manufacturing</v>
          </cell>
          <cell r="C478" t="str">
            <v>NA</v>
          </cell>
          <cell r="F478" t="str">
            <v>3568</v>
          </cell>
          <cell r="G478" t="str">
            <v>Manufacturing</v>
          </cell>
          <cell r="H478" t="str">
            <v>NA</v>
          </cell>
        </row>
        <row r="479">
          <cell r="A479" t="str">
            <v>3569</v>
          </cell>
          <cell r="B479" t="str">
            <v>Manufacturing</v>
          </cell>
          <cell r="C479" t="str">
            <v>NA</v>
          </cell>
          <cell r="F479" t="str">
            <v>3569</v>
          </cell>
          <cell r="G479" t="str">
            <v>Manufacturing</v>
          </cell>
          <cell r="H479" t="str">
            <v>NA</v>
          </cell>
        </row>
        <row r="480">
          <cell r="A480" t="str">
            <v>3571</v>
          </cell>
          <cell r="B480" t="str">
            <v>Manufacturing</v>
          </cell>
          <cell r="C480" t="str">
            <v>NA</v>
          </cell>
          <cell r="F480" t="str">
            <v>3571</v>
          </cell>
          <cell r="G480" t="str">
            <v>Manufacturing</v>
          </cell>
          <cell r="H480" t="str">
            <v>NA</v>
          </cell>
        </row>
        <row r="481">
          <cell r="A481" t="str">
            <v>3572</v>
          </cell>
          <cell r="B481" t="str">
            <v>Manufacturing</v>
          </cell>
          <cell r="C481" t="str">
            <v>NA</v>
          </cell>
          <cell r="F481" t="str">
            <v>3572</v>
          </cell>
          <cell r="G481" t="str">
            <v>Manufacturing</v>
          </cell>
          <cell r="H481" t="str">
            <v>NA</v>
          </cell>
        </row>
        <row r="482">
          <cell r="A482" t="str">
            <v>3575</v>
          </cell>
          <cell r="B482" t="str">
            <v>Manufacturing</v>
          </cell>
          <cell r="C482" t="str">
            <v>NA</v>
          </cell>
          <cell r="F482" t="str">
            <v>3575</v>
          </cell>
          <cell r="G482" t="str">
            <v>Manufacturing</v>
          </cell>
          <cell r="H482" t="str">
            <v>NA</v>
          </cell>
        </row>
        <row r="483">
          <cell r="A483" t="str">
            <v>3577</v>
          </cell>
          <cell r="B483" t="str">
            <v>Manufacturing</v>
          </cell>
          <cell r="C483" t="str">
            <v>NA</v>
          </cell>
          <cell r="F483" t="str">
            <v>3577</v>
          </cell>
          <cell r="G483" t="str">
            <v>Manufacturing</v>
          </cell>
          <cell r="H483" t="str">
            <v>NA</v>
          </cell>
        </row>
        <row r="484">
          <cell r="A484" t="str">
            <v>3578</v>
          </cell>
          <cell r="B484" t="str">
            <v>Manufacturing</v>
          </cell>
          <cell r="C484" t="str">
            <v>NA</v>
          </cell>
          <cell r="F484" t="str">
            <v>3578</v>
          </cell>
          <cell r="G484" t="str">
            <v>Manufacturing</v>
          </cell>
          <cell r="H484" t="str">
            <v>NA</v>
          </cell>
        </row>
        <row r="485">
          <cell r="A485" t="str">
            <v>3579</v>
          </cell>
          <cell r="B485" t="str">
            <v>Manufacturing</v>
          </cell>
          <cell r="C485" t="str">
            <v>NA</v>
          </cell>
          <cell r="F485" t="str">
            <v>3579</v>
          </cell>
          <cell r="G485" t="str">
            <v>Manufacturing</v>
          </cell>
          <cell r="H485" t="str">
            <v>NA</v>
          </cell>
        </row>
        <row r="486">
          <cell r="A486" t="str">
            <v>3581</v>
          </cell>
          <cell r="B486" t="str">
            <v>Manufacturing</v>
          </cell>
          <cell r="C486" t="str">
            <v>NA</v>
          </cell>
          <cell r="F486" t="str">
            <v>3581</v>
          </cell>
          <cell r="G486" t="str">
            <v>Manufacturing</v>
          </cell>
          <cell r="H486" t="str">
            <v>NA</v>
          </cell>
        </row>
        <row r="487">
          <cell r="A487" t="str">
            <v>3582</v>
          </cell>
          <cell r="B487" t="str">
            <v>Manufacturing</v>
          </cell>
          <cell r="C487" t="str">
            <v>NA</v>
          </cell>
          <cell r="F487" t="str">
            <v>3582</v>
          </cell>
          <cell r="G487" t="str">
            <v>Manufacturing</v>
          </cell>
          <cell r="H487" t="str">
            <v>NA</v>
          </cell>
        </row>
        <row r="488">
          <cell r="A488" t="str">
            <v>3585</v>
          </cell>
          <cell r="B488" t="str">
            <v>Manufacturing</v>
          </cell>
          <cell r="C488" t="str">
            <v>NA</v>
          </cell>
          <cell r="F488" t="str">
            <v>3585</v>
          </cell>
          <cell r="G488" t="str">
            <v>Manufacturing</v>
          </cell>
          <cell r="H488" t="str">
            <v>NA</v>
          </cell>
        </row>
        <row r="489">
          <cell r="A489" t="str">
            <v>3586</v>
          </cell>
          <cell r="B489" t="str">
            <v>Manufacturing</v>
          </cell>
          <cell r="C489" t="str">
            <v>NA</v>
          </cell>
          <cell r="F489" t="str">
            <v>3586</v>
          </cell>
          <cell r="G489" t="str">
            <v>Manufacturing</v>
          </cell>
          <cell r="H489" t="str">
            <v>NA</v>
          </cell>
        </row>
        <row r="490">
          <cell r="A490" t="str">
            <v>3589</v>
          </cell>
          <cell r="B490" t="str">
            <v>Manufacturing</v>
          </cell>
          <cell r="C490" t="str">
            <v>NA</v>
          </cell>
          <cell r="F490" t="str">
            <v>3589</v>
          </cell>
          <cell r="G490" t="str">
            <v>Manufacturing</v>
          </cell>
          <cell r="H490" t="str">
            <v>NA</v>
          </cell>
        </row>
        <row r="491">
          <cell r="A491" t="str">
            <v>3592</v>
          </cell>
          <cell r="B491" t="str">
            <v>Manufacturing</v>
          </cell>
          <cell r="C491" t="str">
            <v>NA</v>
          </cell>
          <cell r="F491" t="str">
            <v>3592</v>
          </cell>
          <cell r="G491" t="str">
            <v>Manufacturing</v>
          </cell>
          <cell r="H491" t="str">
            <v>NA</v>
          </cell>
        </row>
        <row r="492">
          <cell r="A492" t="str">
            <v>3593</v>
          </cell>
          <cell r="B492" t="str">
            <v>Manufacturing</v>
          </cell>
          <cell r="C492" t="str">
            <v>NA</v>
          </cell>
          <cell r="F492" t="str">
            <v>3593</v>
          </cell>
          <cell r="G492" t="str">
            <v>Manufacturing</v>
          </cell>
          <cell r="H492" t="str">
            <v>NA</v>
          </cell>
        </row>
        <row r="493">
          <cell r="A493" t="str">
            <v>3594</v>
          </cell>
          <cell r="B493" t="str">
            <v>Manufacturing</v>
          </cell>
          <cell r="C493" t="str">
            <v>NA</v>
          </cell>
          <cell r="F493" t="str">
            <v>3594</v>
          </cell>
          <cell r="G493" t="str">
            <v>Manufacturing</v>
          </cell>
          <cell r="H493" t="str">
            <v>NA</v>
          </cell>
        </row>
        <row r="494">
          <cell r="A494" t="str">
            <v>3596</v>
          </cell>
          <cell r="B494" t="str">
            <v>Manufacturing</v>
          </cell>
          <cell r="C494" t="str">
            <v>NA</v>
          </cell>
          <cell r="F494" t="str">
            <v>3596</v>
          </cell>
          <cell r="G494" t="str">
            <v>Manufacturing</v>
          </cell>
          <cell r="H494" t="str">
            <v>NA</v>
          </cell>
        </row>
        <row r="495">
          <cell r="A495" t="str">
            <v>3599</v>
          </cell>
          <cell r="B495" t="str">
            <v>Manufacturing</v>
          </cell>
          <cell r="C495" t="str">
            <v>NA</v>
          </cell>
          <cell r="F495" t="str">
            <v>3599</v>
          </cell>
          <cell r="G495" t="str">
            <v>Manufacturing</v>
          </cell>
          <cell r="H495" t="str">
            <v>NA</v>
          </cell>
        </row>
        <row r="496">
          <cell r="A496" t="str">
            <v>3612</v>
          </cell>
          <cell r="B496" t="str">
            <v>Manufacturing</v>
          </cell>
          <cell r="C496" t="str">
            <v>NA</v>
          </cell>
          <cell r="F496" t="str">
            <v>3612</v>
          </cell>
          <cell r="G496" t="str">
            <v>Manufacturing</v>
          </cell>
          <cell r="H496" t="str">
            <v>NA</v>
          </cell>
        </row>
        <row r="497">
          <cell r="A497" t="str">
            <v>3613</v>
          </cell>
          <cell r="B497" t="str">
            <v>Manufacturing</v>
          </cell>
          <cell r="C497" t="str">
            <v>NA</v>
          </cell>
          <cell r="F497" t="str">
            <v>3613</v>
          </cell>
          <cell r="G497" t="str">
            <v>Manufacturing</v>
          </cell>
          <cell r="H497" t="str">
            <v>NA</v>
          </cell>
        </row>
        <row r="498">
          <cell r="A498" t="str">
            <v>3621</v>
          </cell>
          <cell r="B498" t="str">
            <v>Manufacturing</v>
          </cell>
          <cell r="C498" t="str">
            <v>NA</v>
          </cell>
          <cell r="F498" t="str">
            <v>3621</v>
          </cell>
          <cell r="G498" t="str">
            <v>Manufacturing</v>
          </cell>
          <cell r="H498" t="str">
            <v>NA</v>
          </cell>
        </row>
        <row r="499">
          <cell r="A499" t="str">
            <v>3624</v>
          </cell>
          <cell r="B499" t="str">
            <v>Manufacturing</v>
          </cell>
          <cell r="C499" t="str">
            <v>NA</v>
          </cell>
          <cell r="F499" t="str">
            <v>3624</v>
          </cell>
          <cell r="G499" t="str">
            <v>Manufacturing</v>
          </cell>
          <cell r="H499" t="str">
            <v>NA</v>
          </cell>
        </row>
        <row r="500">
          <cell r="A500" t="str">
            <v>3625</v>
          </cell>
          <cell r="B500" t="str">
            <v>Manufacturing</v>
          </cell>
          <cell r="C500" t="str">
            <v>NA</v>
          </cell>
          <cell r="F500" t="str">
            <v>3625</v>
          </cell>
          <cell r="G500" t="str">
            <v>Manufacturing</v>
          </cell>
          <cell r="H500" t="str">
            <v>NA</v>
          </cell>
        </row>
        <row r="501">
          <cell r="A501" t="str">
            <v>3629</v>
          </cell>
          <cell r="B501" t="str">
            <v>Manufacturing</v>
          </cell>
          <cell r="C501" t="str">
            <v>NA</v>
          </cell>
          <cell r="F501" t="str">
            <v>3629</v>
          </cell>
          <cell r="G501" t="str">
            <v>Manufacturing</v>
          </cell>
          <cell r="H501" t="str">
            <v>NA</v>
          </cell>
        </row>
        <row r="502">
          <cell r="A502" t="str">
            <v>3631</v>
          </cell>
          <cell r="B502" t="str">
            <v>Manufacturing</v>
          </cell>
          <cell r="C502" t="str">
            <v>NA</v>
          </cell>
          <cell r="F502" t="str">
            <v>3631</v>
          </cell>
          <cell r="G502" t="str">
            <v>Manufacturing</v>
          </cell>
          <cell r="H502" t="str">
            <v>NA</v>
          </cell>
        </row>
        <row r="503">
          <cell r="A503" t="str">
            <v>3632</v>
          </cell>
          <cell r="B503" t="str">
            <v>Manufacturing</v>
          </cell>
          <cell r="C503" t="str">
            <v>NA</v>
          </cell>
          <cell r="F503" t="str">
            <v>3632</v>
          </cell>
          <cell r="G503" t="str">
            <v>Manufacturing</v>
          </cell>
          <cell r="H503" t="str">
            <v>NA</v>
          </cell>
        </row>
        <row r="504">
          <cell r="A504" t="str">
            <v>3633</v>
          </cell>
          <cell r="B504" t="str">
            <v>Manufacturing</v>
          </cell>
          <cell r="C504" t="str">
            <v>NA</v>
          </cell>
          <cell r="F504" t="str">
            <v>3633</v>
          </cell>
          <cell r="G504" t="str">
            <v>Manufacturing</v>
          </cell>
          <cell r="H504" t="str">
            <v>NA</v>
          </cell>
        </row>
        <row r="505">
          <cell r="A505" t="str">
            <v>3634</v>
          </cell>
          <cell r="B505" t="str">
            <v>Manufacturing</v>
          </cell>
          <cell r="C505" t="str">
            <v>NA</v>
          </cell>
          <cell r="F505" t="str">
            <v>3634</v>
          </cell>
          <cell r="G505" t="str">
            <v>Manufacturing</v>
          </cell>
          <cell r="H505" t="str">
            <v>NA</v>
          </cell>
        </row>
        <row r="506">
          <cell r="A506" t="str">
            <v>3635</v>
          </cell>
          <cell r="B506" t="str">
            <v>Manufacturing</v>
          </cell>
          <cell r="C506" t="str">
            <v>NA</v>
          </cell>
          <cell r="F506" t="str">
            <v>3635</v>
          </cell>
          <cell r="G506" t="str">
            <v>Manufacturing</v>
          </cell>
          <cell r="H506" t="str">
            <v>NA</v>
          </cell>
        </row>
        <row r="507">
          <cell r="A507" t="str">
            <v>3636</v>
          </cell>
          <cell r="B507" t="str">
            <v>Manufacturing</v>
          </cell>
          <cell r="C507" t="str">
            <v>NA</v>
          </cell>
          <cell r="F507" t="str">
            <v>3636</v>
          </cell>
          <cell r="G507" t="str">
            <v>Manufacturing</v>
          </cell>
          <cell r="H507" t="str">
            <v>NA</v>
          </cell>
        </row>
        <row r="508">
          <cell r="A508" t="str">
            <v>3639</v>
          </cell>
          <cell r="B508" t="str">
            <v>Manufacturing</v>
          </cell>
          <cell r="C508" t="str">
            <v>NA</v>
          </cell>
          <cell r="F508" t="str">
            <v>3639</v>
          </cell>
          <cell r="G508" t="str">
            <v>Manufacturing</v>
          </cell>
          <cell r="H508" t="str">
            <v>NA</v>
          </cell>
        </row>
        <row r="509">
          <cell r="A509" t="str">
            <v>3641</v>
          </cell>
          <cell r="B509" t="str">
            <v>Manufacturing</v>
          </cell>
          <cell r="C509" t="str">
            <v>NA</v>
          </cell>
          <cell r="F509" t="str">
            <v>3641</v>
          </cell>
          <cell r="G509" t="str">
            <v>Manufacturing</v>
          </cell>
          <cell r="H509" t="str">
            <v>NA</v>
          </cell>
        </row>
        <row r="510">
          <cell r="A510" t="str">
            <v>3643</v>
          </cell>
          <cell r="B510" t="str">
            <v>Manufacturing</v>
          </cell>
          <cell r="C510" t="str">
            <v>NA</v>
          </cell>
          <cell r="F510" t="str">
            <v>3643</v>
          </cell>
          <cell r="G510" t="str">
            <v>Manufacturing</v>
          </cell>
          <cell r="H510" t="str">
            <v>NA</v>
          </cell>
        </row>
        <row r="511">
          <cell r="A511" t="str">
            <v>3644</v>
          </cell>
          <cell r="B511" t="str">
            <v>Manufacturing</v>
          </cell>
          <cell r="C511" t="str">
            <v>NA</v>
          </cell>
          <cell r="F511" t="str">
            <v>3644</v>
          </cell>
          <cell r="G511" t="str">
            <v>Manufacturing</v>
          </cell>
          <cell r="H511" t="str">
            <v>NA</v>
          </cell>
        </row>
        <row r="512">
          <cell r="A512" t="str">
            <v>3645</v>
          </cell>
          <cell r="B512" t="str">
            <v>Manufacturing</v>
          </cell>
          <cell r="C512" t="str">
            <v>NA</v>
          </cell>
          <cell r="F512" t="str">
            <v>3645</v>
          </cell>
          <cell r="G512" t="str">
            <v>Manufacturing</v>
          </cell>
          <cell r="H512" t="str">
            <v>NA</v>
          </cell>
        </row>
        <row r="513">
          <cell r="A513" t="str">
            <v>3646</v>
          </cell>
          <cell r="B513" t="str">
            <v>Manufacturing</v>
          </cell>
          <cell r="C513" t="str">
            <v>NA</v>
          </cell>
          <cell r="F513" t="str">
            <v>3646</v>
          </cell>
          <cell r="G513" t="str">
            <v>Manufacturing</v>
          </cell>
          <cell r="H513" t="str">
            <v>NA</v>
          </cell>
        </row>
        <row r="514">
          <cell r="A514" t="str">
            <v>3647</v>
          </cell>
          <cell r="B514" t="str">
            <v>Manufacturing</v>
          </cell>
          <cell r="C514" t="str">
            <v>NA</v>
          </cell>
          <cell r="F514" t="str">
            <v>3647</v>
          </cell>
          <cell r="G514" t="str">
            <v>Manufacturing</v>
          </cell>
          <cell r="H514" t="str">
            <v>NA</v>
          </cell>
        </row>
        <row r="515">
          <cell r="A515" t="str">
            <v>3648</v>
          </cell>
          <cell r="B515" t="str">
            <v>Manufacturing</v>
          </cell>
          <cell r="C515" t="str">
            <v>NA</v>
          </cell>
          <cell r="F515" t="str">
            <v>3648</v>
          </cell>
          <cell r="G515" t="str">
            <v>Manufacturing</v>
          </cell>
          <cell r="H515" t="str">
            <v>NA</v>
          </cell>
        </row>
        <row r="516">
          <cell r="A516" t="str">
            <v>3651</v>
          </cell>
          <cell r="B516" t="str">
            <v>Manufacturing</v>
          </cell>
          <cell r="C516" t="str">
            <v>NA</v>
          </cell>
          <cell r="F516" t="str">
            <v>3651</v>
          </cell>
          <cell r="G516" t="str">
            <v>Manufacturing</v>
          </cell>
          <cell r="H516" t="str">
            <v>NA</v>
          </cell>
        </row>
        <row r="517">
          <cell r="A517" t="str">
            <v>3652</v>
          </cell>
          <cell r="B517" t="str">
            <v>Manufacturing</v>
          </cell>
          <cell r="C517" t="str">
            <v>NA</v>
          </cell>
          <cell r="F517" t="str">
            <v>3652</v>
          </cell>
          <cell r="G517" t="str">
            <v>Manufacturing</v>
          </cell>
          <cell r="H517" t="str">
            <v>NA</v>
          </cell>
        </row>
        <row r="518">
          <cell r="A518" t="str">
            <v>3661</v>
          </cell>
          <cell r="B518" t="str">
            <v>Manufacturing</v>
          </cell>
          <cell r="C518" t="str">
            <v>NA</v>
          </cell>
          <cell r="F518" t="str">
            <v>3661</v>
          </cell>
          <cell r="G518" t="str">
            <v>Manufacturing</v>
          </cell>
          <cell r="H518" t="str">
            <v>NA</v>
          </cell>
        </row>
        <row r="519">
          <cell r="A519" t="str">
            <v>3663</v>
          </cell>
          <cell r="B519" t="str">
            <v>Manufacturing</v>
          </cell>
          <cell r="C519" t="str">
            <v>NA</v>
          </cell>
          <cell r="F519" t="str">
            <v>3663</v>
          </cell>
          <cell r="G519" t="str">
            <v>Manufacturing</v>
          </cell>
          <cell r="H519" t="str">
            <v>NA</v>
          </cell>
        </row>
        <row r="520">
          <cell r="A520" t="str">
            <v>3669</v>
          </cell>
          <cell r="B520" t="str">
            <v>Manufacturing</v>
          </cell>
          <cell r="C520" t="str">
            <v>NA</v>
          </cell>
          <cell r="F520" t="str">
            <v>3669</v>
          </cell>
          <cell r="G520" t="str">
            <v>Manufacturing</v>
          </cell>
          <cell r="H520" t="str">
            <v>NA</v>
          </cell>
        </row>
        <row r="521">
          <cell r="A521" t="str">
            <v>3671</v>
          </cell>
          <cell r="B521" t="str">
            <v>Manufacturing</v>
          </cell>
          <cell r="C521" t="str">
            <v>NA</v>
          </cell>
          <cell r="F521" t="str">
            <v>3671</v>
          </cell>
          <cell r="G521" t="str">
            <v>Manufacturing</v>
          </cell>
          <cell r="H521" t="str">
            <v>NA</v>
          </cell>
        </row>
        <row r="522">
          <cell r="A522" t="str">
            <v>3672</v>
          </cell>
          <cell r="B522" t="str">
            <v>Manufacturing</v>
          </cell>
          <cell r="C522" t="str">
            <v>NA</v>
          </cell>
          <cell r="F522" t="str">
            <v>3672</v>
          </cell>
          <cell r="G522" t="str">
            <v>Manufacturing</v>
          </cell>
          <cell r="H522" t="str">
            <v>NA</v>
          </cell>
        </row>
        <row r="523">
          <cell r="A523" t="str">
            <v>3674</v>
          </cell>
          <cell r="B523" t="str">
            <v>Manufacturing</v>
          </cell>
          <cell r="C523" t="str">
            <v>NA</v>
          </cell>
          <cell r="F523" t="str">
            <v>3674</v>
          </cell>
          <cell r="G523" t="str">
            <v>Manufacturing</v>
          </cell>
          <cell r="H523" t="str">
            <v>NA</v>
          </cell>
        </row>
        <row r="524">
          <cell r="A524" t="str">
            <v>3675</v>
          </cell>
          <cell r="B524" t="str">
            <v>Manufacturing</v>
          </cell>
          <cell r="C524" t="str">
            <v>NA</v>
          </cell>
          <cell r="F524" t="str">
            <v>3675</v>
          </cell>
          <cell r="G524" t="str">
            <v>Manufacturing</v>
          </cell>
          <cell r="H524" t="str">
            <v>NA</v>
          </cell>
        </row>
        <row r="525">
          <cell r="A525" t="str">
            <v>3676</v>
          </cell>
          <cell r="B525" t="str">
            <v>Manufacturing</v>
          </cell>
          <cell r="C525" t="str">
            <v>NA</v>
          </cell>
          <cell r="F525" t="str">
            <v>3676</v>
          </cell>
          <cell r="G525" t="str">
            <v>Manufacturing</v>
          </cell>
          <cell r="H525" t="str">
            <v>NA</v>
          </cell>
        </row>
        <row r="526">
          <cell r="A526" t="str">
            <v>3677</v>
          </cell>
          <cell r="B526" t="str">
            <v>Manufacturing</v>
          </cell>
          <cell r="C526" t="str">
            <v>NA</v>
          </cell>
          <cell r="F526" t="str">
            <v>3677</v>
          </cell>
          <cell r="G526" t="str">
            <v>Manufacturing</v>
          </cell>
          <cell r="H526" t="str">
            <v>NA</v>
          </cell>
        </row>
        <row r="527">
          <cell r="A527" t="str">
            <v>3678</v>
          </cell>
          <cell r="B527" t="str">
            <v>Manufacturing</v>
          </cell>
          <cell r="C527" t="str">
            <v>NA</v>
          </cell>
          <cell r="F527" t="str">
            <v>3678</v>
          </cell>
          <cell r="G527" t="str">
            <v>Manufacturing</v>
          </cell>
          <cell r="H527" t="str">
            <v>NA</v>
          </cell>
        </row>
        <row r="528">
          <cell r="A528" t="str">
            <v>3679</v>
          </cell>
          <cell r="B528" t="str">
            <v>Manufacturing</v>
          </cell>
          <cell r="C528" t="str">
            <v>NA</v>
          </cell>
          <cell r="F528" t="str">
            <v>3679</v>
          </cell>
          <cell r="G528" t="str">
            <v>Manufacturing</v>
          </cell>
          <cell r="H528" t="str">
            <v>NA</v>
          </cell>
        </row>
        <row r="529">
          <cell r="A529" t="str">
            <v>3691</v>
          </cell>
          <cell r="B529" t="str">
            <v>Manufacturing</v>
          </cell>
          <cell r="C529" t="str">
            <v>NA</v>
          </cell>
          <cell r="F529" t="str">
            <v>3691</v>
          </cell>
          <cell r="G529" t="str">
            <v>Manufacturing</v>
          </cell>
          <cell r="H529" t="str">
            <v>NA</v>
          </cell>
        </row>
        <row r="530">
          <cell r="A530" t="str">
            <v>3692</v>
          </cell>
          <cell r="B530" t="str">
            <v>Manufacturing</v>
          </cell>
          <cell r="C530" t="str">
            <v>NA</v>
          </cell>
          <cell r="F530" t="str">
            <v>3692</v>
          </cell>
          <cell r="G530" t="str">
            <v>Manufacturing</v>
          </cell>
          <cell r="H530" t="str">
            <v>NA</v>
          </cell>
        </row>
        <row r="531">
          <cell r="A531" t="str">
            <v>3694</v>
          </cell>
          <cell r="B531" t="str">
            <v>Manufacturing</v>
          </cell>
          <cell r="C531" t="str">
            <v>NA</v>
          </cell>
          <cell r="F531" t="str">
            <v>3694</v>
          </cell>
          <cell r="G531" t="str">
            <v>Manufacturing</v>
          </cell>
          <cell r="H531" t="str">
            <v>NA</v>
          </cell>
        </row>
        <row r="532">
          <cell r="A532" t="str">
            <v>3695</v>
          </cell>
          <cell r="B532" t="str">
            <v>Manufacturing</v>
          </cell>
          <cell r="C532" t="str">
            <v>NA</v>
          </cell>
          <cell r="F532" t="str">
            <v>3695</v>
          </cell>
          <cell r="G532" t="str">
            <v>Manufacturing</v>
          </cell>
          <cell r="H532" t="str">
            <v>NA</v>
          </cell>
        </row>
        <row r="533">
          <cell r="A533" t="str">
            <v>3699</v>
          </cell>
          <cell r="B533" t="str">
            <v>Manufacturing</v>
          </cell>
          <cell r="C533" t="str">
            <v>NA</v>
          </cell>
          <cell r="F533" t="str">
            <v>3699</v>
          </cell>
          <cell r="G533" t="str">
            <v>Manufacturing</v>
          </cell>
          <cell r="H533" t="str">
            <v>NA</v>
          </cell>
        </row>
        <row r="534">
          <cell r="A534" t="str">
            <v>3711</v>
          </cell>
          <cell r="B534" t="str">
            <v>Manufacturing</v>
          </cell>
          <cell r="C534" t="str">
            <v>NA</v>
          </cell>
          <cell r="F534" t="str">
            <v>3711</v>
          </cell>
          <cell r="G534" t="str">
            <v>Manufacturing</v>
          </cell>
          <cell r="H534" t="str">
            <v>NA</v>
          </cell>
        </row>
        <row r="535">
          <cell r="A535" t="str">
            <v>3713</v>
          </cell>
          <cell r="B535" t="str">
            <v>Manufacturing</v>
          </cell>
          <cell r="C535" t="str">
            <v>NA</v>
          </cell>
          <cell r="F535" t="str">
            <v>3713</v>
          </cell>
          <cell r="G535" t="str">
            <v>Manufacturing</v>
          </cell>
          <cell r="H535" t="str">
            <v>NA</v>
          </cell>
        </row>
        <row r="536">
          <cell r="A536" t="str">
            <v>3714</v>
          </cell>
          <cell r="B536" t="str">
            <v>Manufacturing</v>
          </cell>
          <cell r="C536" t="str">
            <v>NA</v>
          </cell>
          <cell r="F536" t="str">
            <v>3714</v>
          </cell>
          <cell r="G536" t="str">
            <v>Manufacturing</v>
          </cell>
          <cell r="H536" t="str">
            <v>NA</v>
          </cell>
        </row>
        <row r="537">
          <cell r="A537" t="str">
            <v>3715</v>
          </cell>
          <cell r="B537" t="str">
            <v>Manufacturing</v>
          </cell>
          <cell r="C537" t="str">
            <v>NA</v>
          </cell>
          <cell r="F537" t="str">
            <v>3715</v>
          </cell>
          <cell r="G537" t="str">
            <v>Manufacturing</v>
          </cell>
          <cell r="H537" t="str">
            <v>NA</v>
          </cell>
        </row>
        <row r="538">
          <cell r="A538" t="str">
            <v>3721</v>
          </cell>
          <cell r="B538" t="str">
            <v>Manufacturing</v>
          </cell>
          <cell r="C538" t="str">
            <v>NA</v>
          </cell>
          <cell r="F538" t="str">
            <v>3721</v>
          </cell>
          <cell r="G538" t="str">
            <v>Manufacturing</v>
          </cell>
          <cell r="H538" t="str">
            <v>NA</v>
          </cell>
        </row>
        <row r="539">
          <cell r="A539" t="str">
            <v>3724</v>
          </cell>
          <cell r="B539" t="str">
            <v>Manufacturing</v>
          </cell>
          <cell r="C539" t="str">
            <v>NA</v>
          </cell>
          <cell r="F539" t="str">
            <v>3724</v>
          </cell>
          <cell r="G539" t="str">
            <v>Manufacturing</v>
          </cell>
          <cell r="H539" t="str">
            <v>NA</v>
          </cell>
        </row>
        <row r="540">
          <cell r="A540" t="str">
            <v>3728</v>
          </cell>
          <cell r="B540" t="str">
            <v>Manufacturing</v>
          </cell>
          <cell r="C540" t="str">
            <v>NA</v>
          </cell>
          <cell r="F540" t="str">
            <v>3728</v>
          </cell>
          <cell r="G540" t="str">
            <v>Manufacturing</v>
          </cell>
          <cell r="H540" t="str">
            <v>NA</v>
          </cell>
        </row>
        <row r="541">
          <cell r="A541" t="str">
            <v>3731</v>
          </cell>
          <cell r="B541" t="str">
            <v>Manufacturing</v>
          </cell>
          <cell r="C541" t="str">
            <v>NA</v>
          </cell>
          <cell r="F541" t="str">
            <v>3731</v>
          </cell>
          <cell r="G541" t="str">
            <v>Manufacturing</v>
          </cell>
          <cell r="H541" t="str">
            <v>NA</v>
          </cell>
        </row>
        <row r="542">
          <cell r="A542" t="str">
            <v>3732</v>
          </cell>
          <cell r="B542" t="str">
            <v>Manufacturing</v>
          </cell>
          <cell r="C542" t="str">
            <v>NA</v>
          </cell>
          <cell r="F542" t="str">
            <v>3732</v>
          </cell>
          <cell r="G542" t="str">
            <v>Manufacturing</v>
          </cell>
          <cell r="H542" t="str">
            <v>NA</v>
          </cell>
        </row>
        <row r="543">
          <cell r="A543" t="str">
            <v>3743</v>
          </cell>
          <cell r="B543" t="str">
            <v>Manufacturing</v>
          </cell>
          <cell r="C543" t="str">
            <v>NA</v>
          </cell>
          <cell r="F543" t="str">
            <v>3743</v>
          </cell>
          <cell r="G543" t="str">
            <v>Manufacturing</v>
          </cell>
          <cell r="H543" t="str">
            <v>NA</v>
          </cell>
        </row>
        <row r="544">
          <cell r="A544" t="str">
            <v>3751</v>
          </cell>
          <cell r="B544" t="str">
            <v>Manufacturing</v>
          </cell>
          <cell r="C544" t="str">
            <v>NA</v>
          </cell>
          <cell r="F544" t="str">
            <v>3751</v>
          </cell>
          <cell r="G544" t="str">
            <v>Manufacturing</v>
          </cell>
          <cell r="H544" t="str">
            <v>NA</v>
          </cell>
        </row>
        <row r="545">
          <cell r="A545" t="str">
            <v>3761</v>
          </cell>
          <cell r="B545" t="str">
            <v>Manufacturing</v>
          </cell>
          <cell r="C545" t="str">
            <v>NA</v>
          </cell>
          <cell r="F545" t="str">
            <v>3761</v>
          </cell>
          <cell r="G545" t="str">
            <v>Manufacturing</v>
          </cell>
          <cell r="H545" t="str">
            <v>NA</v>
          </cell>
        </row>
        <row r="546">
          <cell r="A546" t="str">
            <v>3764</v>
          </cell>
          <cell r="B546" t="str">
            <v>Manufacturing</v>
          </cell>
          <cell r="C546" t="str">
            <v>NA</v>
          </cell>
          <cell r="F546" t="str">
            <v>3764</v>
          </cell>
          <cell r="G546" t="str">
            <v>Manufacturing</v>
          </cell>
          <cell r="H546" t="str">
            <v>NA</v>
          </cell>
        </row>
        <row r="547">
          <cell r="A547" t="str">
            <v>3769</v>
          </cell>
          <cell r="B547" t="str">
            <v>Manufacturing</v>
          </cell>
          <cell r="C547" t="str">
            <v>NA</v>
          </cell>
          <cell r="F547" t="str">
            <v>3769</v>
          </cell>
          <cell r="G547" t="str">
            <v>Manufacturing</v>
          </cell>
          <cell r="H547" t="str">
            <v>NA</v>
          </cell>
        </row>
        <row r="548">
          <cell r="A548" t="str">
            <v>3792</v>
          </cell>
          <cell r="B548" t="str">
            <v>Manufacturing</v>
          </cell>
          <cell r="C548" t="str">
            <v>NA</v>
          </cell>
          <cell r="F548" t="str">
            <v>3792</v>
          </cell>
          <cell r="G548" t="str">
            <v>Manufacturing</v>
          </cell>
          <cell r="H548" t="str">
            <v>NA</v>
          </cell>
        </row>
        <row r="549">
          <cell r="A549" t="str">
            <v>3795</v>
          </cell>
          <cell r="B549" t="str">
            <v>Manufacturing</v>
          </cell>
          <cell r="C549" t="str">
            <v>NA</v>
          </cell>
          <cell r="F549" t="str">
            <v>3795</v>
          </cell>
          <cell r="G549" t="str">
            <v>Manufacturing</v>
          </cell>
          <cell r="H549" t="str">
            <v>NA</v>
          </cell>
        </row>
        <row r="550">
          <cell r="A550" t="str">
            <v>3799</v>
          </cell>
          <cell r="B550" t="str">
            <v>Manufacturing</v>
          </cell>
          <cell r="C550" t="str">
            <v>NA</v>
          </cell>
          <cell r="F550" t="str">
            <v>3799</v>
          </cell>
          <cell r="G550" t="str">
            <v>Manufacturing</v>
          </cell>
          <cell r="H550" t="str">
            <v>NA</v>
          </cell>
        </row>
        <row r="551">
          <cell r="A551" t="str">
            <v>3812</v>
          </cell>
          <cell r="B551" t="str">
            <v>Manufacturing</v>
          </cell>
          <cell r="C551" t="str">
            <v>NA</v>
          </cell>
          <cell r="F551" t="str">
            <v>3812</v>
          </cell>
          <cell r="G551" t="str">
            <v>Manufacturing</v>
          </cell>
          <cell r="H551" t="str">
            <v>NA</v>
          </cell>
        </row>
        <row r="552">
          <cell r="A552" t="str">
            <v>3821</v>
          </cell>
          <cell r="B552" t="str">
            <v>Manufacturing</v>
          </cell>
          <cell r="C552" t="str">
            <v>NA</v>
          </cell>
          <cell r="F552" t="str">
            <v>3821</v>
          </cell>
          <cell r="G552" t="str">
            <v>Manufacturing</v>
          </cell>
          <cell r="H552" t="str">
            <v>NA</v>
          </cell>
        </row>
        <row r="553">
          <cell r="A553" t="str">
            <v>3822</v>
          </cell>
          <cell r="B553" t="str">
            <v>Manufacturing</v>
          </cell>
          <cell r="C553" t="str">
            <v>NA</v>
          </cell>
          <cell r="F553" t="str">
            <v>3822</v>
          </cell>
          <cell r="G553" t="str">
            <v>Manufacturing</v>
          </cell>
          <cell r="H553" t="str">
            <v>NA</v>
          </cell>
        </row>
        <row r="554">
          <cell r="A554" t="str">
            <v>3823</v>
          </cell>
          <cell r="B554" t="str">
            <v>Manufacturing</v>
          </cell>
          <cell r="C554" t="str">
            <v>NA</v>
          </cell>
          <cell r="F554" t="str">
            <v>3823</v>
          </cell>
          <cell r="G554" t="str">
            <v>Manufacturing</v>
          </cell>
          <cell r="H554" t="str">
            <v>NA</v>
          </cell>
        </row>
        <row r="555">
          <cell r="A555" t="str">
            <v>3824</v>
          </cell>
          <cell r="B555" t="str">
            <v>Manufacturing</v>
          </cell>
          <cell r="C555" t="str">
            <v>NA</v>
          </cell>
          <cell r="F555" t="str">
            <v>3824</v>
          </cell>
          <cell r="G555" t="str">
            <v>Manufacturing</v>
          </cell>
          <cell r="H555" t="str">
            <v>NA</v>
          </cell>
        </row>
        <row r="556">
          <cell r="A556" t="str">
            <v>3825</v>
          </cell>
          <cell r="B556" t="str">
            <v>Manufacturing</v>
          </cell>
          <cell r="C556" t="str">
            <v>NA</v>
          </cell>
          <cell r="F556" t="str">
            <v>3825</v>
          </cell>
          <cell r="G556" t="str">
            <v>Manufacturing</v>
          </cell>
          <cell r="H556" t="str">
            <v>NA</v>
          </cell>
        </row>
        <row r="557">
          <cell r="A557" t="str">
            <v>3826</v>
          </cell>
          <cell r="B557" t="str">
            <v>Manufacturing</v>
          </cell>
          <cell r="C557" t="str">
            <v>NA</v>
          </cell>
          <cell r="F557" t="str">
            <v>3826</v>
          </cell>
          <cell r="G557" t="str">
            <v>Manufacturing</v>
          </cell>
          <cell r="H557" t="str">
            <v>NA</v>
          </cell>
        </row>
        <row r="558">
          <cell r="A558" t="str">
            <v>3827</v>
          </cell>
          <cell r="B558" t="str">
            <v>Manufacturing</v>
          </cell>
          <cell r="C558" t="str">
            <v>NA</v>
          </cell>
          <cell r="F558" t="str">
            <v>3827</v>
          </cell>
          <cell r="G558" t="str">
            <v>Manufacturing</v>
          </cell>
          <cell r="H558" t="str">
            <v>NA</v>
          </cell>
        </row>
        <row r="559">
          <cell r="A559" t="str">
            <v>3829</v>
          </cell>
          <cell r="B559" t="str">
            <v>Manufacturing</v>
          </cell>
          <cell r="C559" t="str">
            <v>NA</v>
          </cell>
          <cell r="F559" t="str">
            <v>3829</v>
          </cell>
          <cell r="G559" t="str">
            <v>Manufacturing</v>
          </cell>
          <cell r="H559" t="str">
            <v>NA</v>
          </cell>
        </row>
        <row r="560">
          <cell r="A560" t="str">
            <v>3841</v>
          </cell>
          <cell r="B560" t="str">
            <v>Manufacturing</v>
          </cell>
          <cell r="C560" t="str">
            <v>NA</v>
          </cell>
          <cell r="F560" t="str">
            <v>3841</v>
          </cell>
          <cell r="G560" t="str">
            <v>Manufacturing</v>
          </cell>
          <cell r="H560" t="str">
            <v>NA</v>
          </cell>
        </row>
        <row r="561">
          <cell r="A561" t="str">
            <v>3842</v>
          </cell>
          <cell r="B561" t="str">
            <v>Manufacturing</v>
          </cell>
          <cell r="C561" t="str">
            <v>NA</v>
          </cell>
          <cell r="F561" t="str">
            <v>3842</v>
          </cell>
          <cell r="G561" t="str">
            <v>Manufacturing</v>
          </cell>
          <cell r="H561" t="str">
            <v>NA</v>
          </cell>
        </row>
        <row r="562">
          <cell r="A562" t="str">
            <v>3843</v>
          </cell>
          <cell r="B562" t="str">
            <v>Manufacturing</v>
          </cell>
          <cell r="C562" t="str">
            <v>NA</v>
          </cell>
          <cell r="F562" t="str">
            <v>3843</v>
          </cell>
          <cell r="G562" t="str">
            <v>Manufacturing</v>
          </cell>
          <cell r="H562" t="str">
            <v>NA</v>
          </cell>
        </row>
        <row r="563">
          <cell r="A563" t="str">
            <v>3844</v>
          </cell>
          <cell r="B563" t="str">
            <v>Manufacturing</v>
          </cell>
          <cell r="C563" t="str">
            <v>NA</v>
          </cell>
          <cell r="F563" t="str">
            <v>3844</v>
          </cell>
          <cell r="G563" t="str">
            <v>Manufacturing</v>
          </cell>
          <cell r="H563" t="str">
            <v>NA</v>
          </cell>
        </row>
        <row r="564">
          <cell r="A564" t="str">
            <v>3845</v>
          </cell>
          <cell r="B564" t="str">
            <v>Manufacturing</v>
          </cell>
          <cell r="C564" t="str">
            <v>NA</v>
          </cell>
          <cell r="F564" t="str">
            <v>3845</v>
          </cell>
          <cell r="G564" t="str">
            <v>Manufacturing</v>
          </cell>
          <cell r="H564" t="str">
            <v>NA</v>
          </cell>
        </row>
        <row r="565">
          <cell r="A565" t="str">
            <v>3851</v>
          </cell>
          <cell r="B565" t="str">
            <v>Manufacturing</v>
          </cell>
          <cell r="C565" t="str">
            <v>NA</v>
          </cell>
          <cell r="F565" t="str">
            <v>3851</v>
          </cell>
          <cell r="G565" t="str">
            <v>Manufacturing</v>
          </cell>
          <cell r="H565" t="str">
            <v>NA</v>
          </cell>
        </row>
        <row r="566">
          <cell r="A566" t="str">
            <v>3861</v>
          </cell>
          <cell r="B566" t="str">
            <v>Manufacturing</v>
          </cell>
          <cell r="C566" t="str">
            <v>NA</v>
          </cell>
          <cell r="F566" t="str">
            <v>3861</v>
          </cell>
          <cell r="G566" t="str">
            <v>Manufacturing</v>
          </cell>
          <cell r="H566" t="str">
            <v>NA</v>
          </cell>
        </row>
        <row r="567">
          <cell r="A567" t="str">
            <v>3873</v>
          </cell>
          <cell r="B567" t="str">
            <v>Manufacturing</v>
          </cell>
          <cell r="C567" t="str">
            <v>NA</v>
          </cell>
          <cell r="F567" t="str">
            <v>3873</v>
          </cell>
          <cell r="G567" t="str">
            <v>Manufacturing</v>
          </cell>
          <cell r="H567" t="str">
            <v>NA</v>
          </cell>
        </row>
        <row r="568">
          <cell r="A568" t="str">
            <v>3911</v>
          </cell>
          <cell r="B568" t="str">
            <v>Manufacturing</v>
          </cell>
          <cell r="C568" t="str">
            <v>NA</v>
          </cell>
          <cell r="F568" t="str">
            <v>3911</v>
          </cell>
          <cell r="G568" t="str">
            <v>Manufacturing</v>
          </cell>
          <cell r="H568" t="str">
            <v>NA</v>
          </cell>
        </row>
        <row r="569">
          <cell r="A569" t="str">
            <v>3914</v>
          </cell>
          <cell r="B569" t="str">
            <v>Manufacturing</v>
          </cell>
          <cell r="C569" t="str">
            <v>NA</v>
          </cell>
          <cell r="F569" t="str">
            <v>3914</v>
          </cell>
          <cell r="G569" t="str">
            <v>Manufacturing</v>
          </cell>
          <cell r="H569" t="str">
            <v>NA</v>
          </cell>
        </row>
        <row r="570">
          <cell r="A570" t="str">
            <v>3915</v>
          </cell>
          <cell r="B570" t="str">
            <v>Manufacturing</v>
          </cell>
          <cell r="C570" t="str">
            <v>NA</v>
          </cell>
          <cell r="F570" t="str">
            <v>3915</v>
          </cell>
          <cell r="G570" t="str">
            <v>Manufacturing</v>
          </cell>
          <cell r="H570" t="str">
            <v>NA</v>
          </cell>
        </row>
        <row r="571">
          <cell r="A571" t="str">
            <v>3931</v>
          </cell>
          <cell r="B571" t="str">
            <v>Manufacturing</v>
          </cell>
          <cell r="C571" t="str">
            <v>NA</v>
          </cell>
          <cell r="F571" t="str">
            <v>3931</v>
          </cell>
          <cell r="G571" t="str">
            <v>Manufacturing</v>
          </cell>
          <cell r="H571" t="str">
            <v>NA</v>
          </cell>
        </row>
        <row r="572">
          <cell r="A572" t="str">
            <v>3942</v>
          </cell>
          <cell r="B572" t="str">
            <v>Manufacturing</v>
          </cell>
          <cell r="C572" t="str">
            <v>NA</v>
          </cell>
          <cell r="F572" t="str">
            <v>3942</v>
          </cell>
          <cell r="G572" t="str">
            <v>Manufacturing</v>
          </cell>
          <cell r="H572" t="str">
            <v>NA</v>
          </cell>
        </row>
        <row r="573">
          <cell r="A573" t="str">
            <v>3944</v>
          </cell>
          <cell r="B573" t="str">
            <v>Manufacturing</v>
          </cell>
          <cell r="C573" t="str">
            <v>NA</v>
          </cell>
          <cell r="F573" t="str">
            <v>3944</v>
          </cell>
          <cell r="G573" t="str">
            <v>Manufacturing</v>
          </cell>
          <cell r="H573" t="str">
            <v>NA</v>
          </cell>
        </row>
        <row r="574">
          <cell r="A574" t="str">
            <v>3949</v>
          </cell>
          <cell r="B574" t="str">
            <v>Manufacturing</v>
          </cell>
          <cell r="C574" t="str">
            <v>NA</v>
          </cell>
          <cell r="F574" t="str">
            <v>3949</v>
          </cell>
          <cell r="G574" t="str">
            <v>Manufacturing</v>
          </cell>
          <cell r="H574" t="str">
            <v>NA</v>
          </cell>
        </row>
        <row r="575">
          <cell r="A575" t="str">
            <v>3951</v>
          </cell>
          <cell r="B575" t="str">
            <v>Manufacturing</v>
          </cell>
          <cell r="C575" t="str">
            <v>NA</v>
          </cell>
          <cell r="F575" t="str">
            <v>3951</v>
          </cell>
          <cell r="G575" t="str">
            <v>Manufacturing</v>
          </cell>
          <cell r="H575" t="str">
            <v>NA</v>
          </cell>
        </row>
        <row r="576">
          <cell r="A576" t="str">
            <v>3952</v>
          </cell>
          <cell r="B576" t="str">
            <v>Manufacturing</v>
          </cell>
          <cell r="C576" t="str">
            <v>NA</v>
          </cell>
          <cell r="F576" t="str">
            <v>3952</v>
          </cell>
          <cell r="G576" t="str">
            <v>Manufacturing</v>
          </cell>
          <cell r="H576" t="str">
            <v>NA</v>
          </cell>
        </row>
        <row r="577">
          <cell r="A577" t="str">
            <v>3953</v>
          </cell>
          <cell r="B577" t="str">
            <v>Manufacturing</v>
          </cell>
          <cell r="C577" t="str">
            <v>NA</v>
          </cell>
          <cell r="F577" t="str">
            <v>3953</v>
          </cell>
          <cell r="G577" t="str">
            <v>Manufacturing</v>
          </cell>
          <cell r="H577" t="str">
            <v>NA</v>
          </cell>
        </row>
        <row r="578">
          <cell r="A578" t="str">
            <v>3955</v>
          </cell>
          <cell r="B578" t="str">
            <v>Manufacturing</v>
          </cell>
          <cell r="C578" t="str">
            <v>NA</v>
          </cell>
          <cell r="F578" t="str">
            <v>3955</v>
          </cell>
          <cell r="G578" t="str">
            <v>Manufacturing</v>
          </cell>
          <cell r="H578" t="str">
            <v>NA</v>
          </cell>
        </row>
        <row r="579">
          <cell r="A579" t="str">
            <v>3961</v>
          </cell>
          <cell r="B579" t="str">
            <v>Manufacturing</v>
          </cell>
          <cell r="C579" t="str">
            <v>NA</v>
          </cell>
          <cell r="F579" t="str">
            <v>3961</v>
          </cell>
          <cell r="G579" t="str">
            <v>Manufacturing</v>
          </cell>
          <cell r="H579" t="str">
            <v>NA</v>
          </cell>
        </row>
        <row r="580">
          <cell r="A580" t="str">
            <v>3965</v>
          </cell>
          <cell r="B580" t="str">
            <v>Manufacturing</v>
          </cell>
          <cell r="C580" t="str">
            <v>NA</v>
          </cell>
          <cell r="F580" t="str">
            <v>3965</v>
          </cell>
          <cell r="G580" t="str">
            <v>Manufacturing</v>
          </cell>
          <cell r="H580" t="str">
            <v>NA</v>
          </cell>
        </row>
        <row r="581">
          <cell r="A581" t="str">
            <v>3991</v>
          </cell>
          <cell r="B581" t="str">
            <v>Manufacturing</v>
          </cell>
          <cell r="C581" t="str">
            <v>NA</v>
          </cell>
          <cell r="F581" t="str">
            <v>3991</v>
          </cell>
          <cell r="G581" t="str">
            <v>Manufacturing</v>
          </cell>
          <cell r="H581" t="str">
            <v>NA</v>
          </cell>
        </row>
        <row r="582">
          <cell r="A582" t="str">
            <v>3993</v>
          </cell>
          <cell r="B582" t="str">
            <v>Manufacturing</v>
          </cell>
          <cell r="C582" t="str">
            <v>NA</v>
          </cell>
          <cell r="F582" t="str">
            <v>3993</v>
          </cell>
          <cell r="G582" t="str">
            <v>Manufacturing</v>
          </cell>
          <cell r="H582" t="str">
            <v>NA</v>
          </cell>
        </row>
        <row r="583">
          <cell r="A583" t="str">
            <v>3995</v>
          </cell>
          <cell r="B583" t="str">
            <v>Manufacturing</v>
          </cell>
          <cell r="C583" t="str">
            <v>NA</v>
          </cell>
          <cell r="F583" t="str">
            <v>3995</v>
          </cell>
          <cell r="G583" t="str">
            <v>Manufacturing</v>
          </cell>
          <cell r="H583" t="str">
            <v>NA</v>
          </cell>
        </row>
        <row r="584">
          <cell r="A584" t="str">
            <v>3996</v>
          </cell>
          <cell r="B584" t="str">
            <v>Manufacturing</v>
          </cell>
          <cell r="C584" t="str">
            <v>NA</v>
          </cell>
          <cell r="F584" t="str">
            <v>3996</v>
          </cell>
          <cell r="G584" t="str">
            <v>Manufacturing</v>
          </cell>
          <cell r="H584" t="str">
            <v>NA</v>
          </cell>
        </row>
        <row r="585">
          <cell r="A585" t="str">
            <v>3999</v>
          </cell>
          <cell r="B585" t="str">
            <v>Manufacturing</v>
          </cell>
          <cell r="C585" t="str">
            <v>NA</v>
          </cell>
          <cell r="F585" t="str">
            <v>3999</v>
          </cell>
          <cell r="G585" t="str">
            <v>Manufacturing</v>
          </cell>
          <cell r="H585" t="str">
            <v>NA</v>
          </cell>
        </row>
        <row r="586">
          <cell r="A586" t="str">
            <v>4011</v>
          </cell>
          <cell r="B586" t="str">
            <v>Services</v>
          </cell>
          <cell r="C586" t="str">
            <v>NA</v>
          </cell>
          <cell r="F586" t="str">
            <v>4011</v>
          </cell>
          <cell r="G586" t="str">
            <v>Services</v>
          </cell>
          <cell r="H586" t="str">
            <v>NA</v>
          </cell>
        </row>
        <row r="587">
          <cell r="A587" t="str">
            <v>4013</v>
          </cell>
          <cell r="B587" t="str">
            <v>Services</v>
          </cell>
          <cell r="C587" t="str">
            <v>NA</v>
          </cell>
          <cell r="F587" t="str">
            <v>4013</v>
          </cell>
          <cell r="G587" t="str">
            <v>Services</v>
          </cell>
          <cell r="H587" t="str">
            <v>NA</v>
          </cell>
        </row>
        <row r="588">
          <cell r="A588" t="str">
            <v>4111</v>
          </cell>
          <cell r="B588" t="str">
            <v>Services</v>
          </cell>
          <cell r="C588" t="str">
            <v>NA</v>
          </cell>
          <cell r="F588" t="str">
            <v>4111</v>
          </cell>
          <cell r="G588" t="str">
            <v>Services</v>
          </cell>
          <cell r="H588" t="str">
            <v>NA</v>
          </cell>
        </row>
        <row r="589">
          <cell r="A589" t="str">
            <v>4119</v>
          </cell>
          <cell r="B589" t="str">
            <v>Services</v>
          </cell>
          <cell r="C589" t="str">
            <v>NA</v>
          </cell>
          <cell r="F589" t="str">
            <v>4119</v>
          </cell>
          <cell r="G589" t="str">
            <v>Services</v>
          </cell>
          <cell r="H589" t="str">
            <v>NA</v>
          </cell>
        </row>
        <row r="590">
          <cell r="A590" t="str">
            <v>4121</v>
          </cell>
          <cell r="B590" t="str">
            <v>Services</v>
          </cell>
          <cell r="C590" t="str">
            <v>NA</v>
          </cell>
          <cell r="F590" t="str">
            <v>4121</v>
          </cell>
          <cell r="G590" t="str">
            <v>Services</v>
          </cell>
          <cell r="H590" t="str">
            <v>NA</v>
          </cell>
        </row>
        <row r="591">
          <cell r="A591" t="str">
            <v>4131</v>
          </cell>
          <cell r="B591" t="str">
            <v>Services</v>
          </cell>
          <cell r="C591" t="str">
            <v>NA</v>
          </cell>
          <cell r="F591" t="str">
            <v>4131</v>
          </cell>
          <cell r="G591" t="str">
            <v>Services</v>
          </cell>
          <cell r="H591" t="str">
            <v>NA</v>
          </cell>
        </row>
        <row r="592">
          <cell r="A592" t="str">
            <v>4141</v>
          </cell>
          <cell r="B592" t="str">
            <v>Services</v>
          </cell>
          <cell r="C592" t="str">
            <v>NA</v>
          </cell>
          <cell r="F592" t="str">
            <v>4141</v>
          </cell>
          <cell r="G592" t="str">
            <v>Services</v>
          </cell>
          <cell r="H592" t="str">
            <v>NA</v>
          </cell>
        </row>
        <row r="593">
          <cell r="A593" t="str">
            <v>4142</v>
          </cell>
          <cell r="B593" t="str">
            <v>Services</v>
          </cell>
          <cell r="C593" t="str">
            <v>NA</v>
          </cell>
          <cell r="F593" t="str">
            <v>4142</v>
          </cell>
          <cell r="G593" t="str">
            <v>Services</v>
          </cell>
          <cell r="H593" t="str">
            <v>NA</v>
          </cell>
        </row>
        <row r="594">
          <cell r="A594" t="str">
            <v>4151</v>
          </cell>
          <cell r="B594" t="str">
            <v>Services</v>
          </cell>
          <cell r="C594" t="str">
            <v>NA</v>
          </cell>
          <cell r="F594" t="str">
            <v>4151</v>
          </cell>
          <cell r="G594" t="str">
            <v>Services</v>
          </cell>
          <cell r="H594" t="str">
            <v>NA</v>
          </cell>
        </row>
        <row r="595">
          <cell r="A595" t="str">
            <v>4173</v>
          </cell>
          <cell r="B595" t="str">
            <v>Services</v>
          </cell>
          <cell r="C595" t="str">
            <v>NA</v>
          </cell>
          <cell r="F595" t="str">
            <v>4173</v>
          </cell>
          <cell r="G595" t="str">
            <v>Services</v>
          </cell>
          <cell r="H595" t="str">
            <v>NA</v>
          </cell>
        </row>
        <row r="596">
          <cell r="A596" t="str">
            <v>4212</v>
          </cell>
          <cell r="B596" t="str">
            <v>Services</v>
          </cell>
          <cell r="C596" t="str">
            <v>NA</v>
          </cell>
          <cell r="F596" t="str">
            <v>4212</v>
          </cell>
          <cell r="G596" t="str">
            <v>Services</v>
          </cell>
          <cell r="H596" t="str">
            <v>NA</v>
          </cell>
        </row>
        <row r="597">
          <cell r="A597" t="str">
            <v>4213</v>
          </cell>
          <cell r="B597" t="str">
            <v>Services</v>
          </cell>
          <cell r="C597" t="str">
            <v>NA</v>
          </cell>
          <cell r="F597" t="str">
            <v>4213</v>
          </cell>
          <cell r="G597" t="str">
            <v>Services</v>
          </cell>
          <cell r="H597" t="str">
            <v>NA</v>
          </cell>
        </row>
        <row r="598">
          <cell r="A598" t="str">
            <v>4214</v>
          </cell>
          <cell r="B598" t="str">
            <v>Services</v>
          </cell>
          <cell r="C598" t="str">
            <v>NA</v>
          </cell>
          <cell r="F598" t="str">
            <v>4214</v>
          </cell>
          <cell r="G598" t="str">
            <v>Services</v>
          </cell>
          <cell r="H598" t="str">
            <v>NA</v>
          </cell>
        </row>
        <row r="599">
          <cell r="A599" t="str">
            <v>4215</v>
          </cell>
          <cell r="B599" t="str">
            <v>Services</v>
          </cell>
          <cell r="C599" t="str">
            <v>NA</v>
          </cell>
          <cell r="F599" t="str">
            <v>4215</v>
          </cell>
          <cell r="G599" t="str">
            <v>Services</v>
          </cell>
          <cell r="H599" t="str">
            <v>NA</v>
          </cell>
        </row>
        <row r="600">
          <cell r="A600" t="str">
            <v>4221</v>
          </cell>
          <cell r="B600" t="str">
            <v>Services</v>
          </cell>
          <cell r="C600" t="str">
            <v>NA</v>
          </cell>
          <cell r="F600" t="str">
            <v>4221</v>
          </cell>
          <cell r="G600" t="str">
            <v>Services</v>
          </cell>
          <cell r="H600" t="str">
            <v>NA</v>
          </cell>
        </row>
        <row r="601">
          <cell r="A601" t="str">
            <v>4222</v>
          </cell>
          <cell r="B601" t="str">
            <v>Services</v>
          </cell>
          <cell r="C601" t="str">
            <v>NA</v>
          </cell>
          <cell r="F601" t="str">
            <v>4222</v>
          </cell>
          <cell r="G601" t="str">
            <v>Services</v>
          </cell>
          <cell r="H601" t="str">
            <v>NA</v>
          </cell>
        </row>
        <row r="602">
          <cell r="A602" t="str">
            <v>4225</v>
          </cell>
          <cell r="B602" t="str">
            <v>Services</v>
          </cell>
          <cell r="C602" t="str">
            <v>NA</v>
          </cell>
          <cell r="F602" t="str">
            <v>4225</v>
          </cell>
          <cell r="G602" t="str">
            <v>Services</v>
          </cell>
          <cell r="H602" t="str">
            <v>NA</v>
          </cell>
        </row>
        <row r="603">
          <cell r="A603" t="str">
            <v>4226</v>
          </cell>
          <cell r="B603" t="str">
            <v>Services</v>
          </cell>
          <cell r="C603" t="str">
            <v>NA</v>
          </cell>
          <cell r="F603" t="str">
            <v>4226</v>
          </cell>
          <cell r="G603" t="str">
            <v>Services</v>
          </cell>
          <cell r="H603" t="str">
            <v>NA</v>
          </cell>
        </row>
        <row r="604">
          <cell r="A604" t="str">
            <v>4231</v>
          </cell>
          <cell r="B604" t="str">
            <v>Services</v>
          </cell>
          <cell r="C604" t="str">
            <v>NA</v>
          </cell>
          <cell r="F604" t="str">
            <v>4231</v>
          </cell>
          <cell r="G604" t="str">
            <v>Services</v>
          </cell>
          <cell r="H604" t="str">
            <v>NA</v>
          </cell>
        </row>
        <row r="605">
          <cell r="A605" t="str">
            <v>4311</v>
          </cell>
          <cell r="B605" t="str">
            <v>Services</v>
          </cell>
          <cell r="C605" t="str">
            <v>NA</v>
          </cell>
          <cell r="F605" t="str">
            <v>4311</v>
          </cell>
          <cell r="G605" t="str">
            <v>Services</v>
          </cell>
          <cell r="H605" t="str">
            <v>NA</v>
          </cell>
        </row>
        <row r="606">
          <cell r="A606" t="str">
            <v>4412</v>
          </cell>
          <cell r="B606" t="str">
            <v>Services</v>
          </cell>
          <cell r="C606" t="str">
            <v>NA</v>
          </cell>
          <cell r="F606" t="str">
            <v>4412</v>
          </cell>
          <cell r="G606" t="str">
            <v>Services</v>
          </cell>
          <cell r="H606" t="str">
            <v>NA</v>
          </cell>
        </row>
        <row r="607">
          <cell r="A607" t="str">
            <v>4424</v>
          </cell>
          <cell r="B607" t="str">
            <v>Services</v>
          </cell>
          <cell r="C607" t="str">
            <v>NA</v>
          </cell>
          <cell r="F607" t="str">
            <v>4424</v>
          </cell>
          <cell r="G607" t="str">
            <v>Services</v>
          </cell>
          <cell r="H607" t="str">
            <v>NA</v>
          </cell>
        </row>
        <row r="608">
          <cell r="A608" t="str">
            <v>4432</v>
          </cell>
          <cell r="B608" t="str">
            <v>Services</v>
          </cell>
          <cell r="C608" t="str">
            <v>NA</v>
          </cell>
          <cell r="F608" t="str">
            <v>4432</v>
          </cell>
          <cell r="G608" t="str">
            <v>Services</v>
          </cell>
          <cell r="H608" t="str">
            <v>NA</v>
          </cell>
        </row>
        <row r="609">
          <cell r="A609" t="str">
            <v>4449</v>
          </cell>
          <cell r="B609" t="str">
            <v>Services</v>
          </cell>
          <cell r="C609" t="str">
            <v>NA</v>
          </cell>
          <cell r="F609" t="str">
            <v>4449</v>
          </cell>
          <cell r="G609" t="str">
            <v>Services</v>
          </cell>
          <cell r="H609" t="str">
            <v>NA</v>
          </cell>
        </row>
        <row r="610">
          <cell r="A610" t="str">
            <v>4481</v>
          </cell>
          <cell r="B610" t="str">
            <v>Services</v>
          </cell>
          <cell r="C610" t="str">
            <v>NA</v>
          </cell>
          <cell r="F610" t="str">
            <v>4481</v>
          </cell>
          <cell r="G610" t="str">
            <v>Services</v>
          </cell>
          <cell r="H610" t="str">
            <v>NA</v>
          </cell>
        </row>
        <row r="611">
          <cell r="A611" t="str">
            <v>4482</v>
          </cell>
          <cell r="B611" t="str">
            <v>Services</v>
          </cell>
          <cell r="C611" t="str">
            <v>NA</v>
          </cell>
          <cell r="F611" t="str">
            <v>4482</v>
          </cell>
          <cell r="G611" t="str">
            <v>Services</v>
          </cell>
          <cell r="H611" t="str">
            <v>NA</v>
          </cell>
        </row>
        <row r="612">
          <cell r="A612" t="str">
            <v>4489</v>
          </cell>
          <cell r="B612" t="str">
            <v>Services</v>
          </cell>
          <cell r="C612" t="str">
            <v>NA</v>
          </cell>
          <cell r="F612" t="str">
            <v>4489</v>
          </cell>
          <cell r="G612" t="str">
            <v>Services</v>
          </cell>
          <cell r="H612" t="str">
            <v>NA</v>
          </cell>
        </row>
        <row r="613">
          <cell r="A613" t="str">
            <v>4491</v>
          </cell>
          <cell r="B613" t="str">
            <v>Services</v>
          </cell>
          <cell r="C613" t="str">
            <v>NA</v>
          </cell>
          <cell r="F613" t="str">
            <v>4491</v>
          </cell>
          <cell r="G613" t="str">
            <v>Services</v>
          </cell>
          <cell r="H613" t="str">
            <v>NA</v>
          </cell>
        </row>
        <row r="614">
          <cell r="A614" t="str">
            <v>4492</v>
          </cell>
          <cell r="B614" t="str">
            <v>Services</v>
          </cell>
          <cell r="C614" t="str">
            <v>NA</v>
          </cell>
          <cell r="F614" t="str">
            <v>4492</v>
          </cell>
          <cell r="G614" t="str">
            <v>Services</v>
          </cell>
          <cell r="H614" t="str">
            <v>NA</v>
          </cell>
        </row>
        <row r="615">
          <cell r="A615" t="str">
            <v>4493</v>
          </cell>
          <cell r="B615" t="str">
            <v>Services</v>
          </cell>
          <cell r="C615" t="str">
            <v>NA</v>
          </cell>
          <cell r="F615" t="str">
            <v>4493</v>
          </cell>
          <cell r="G615" t="str">
            <v>Services</v>
          </cell>
          <cell r="H615" t="str">
            <v>NA</v>
          </cell>
        </row>
        <row r="616">
          <cell r="A616" t="str">
            <v>4499</v>
          </cell>
          <cell r="B616" t="str">
            <v>Services</v>
          </cell>
          <cell r="C616" t="str">
            <v>NA</v>
          </cell>
          <cell r="F616" t="str">
            <v>4499</v>
          </cell>
          <cell r="G616" t="str">
            <v>Services</v>
          </cell>
          <cell r="H616" t="str">
            <v>NA</v>
          </cell>
        </row>
        <row r="617">
          <cell r="A617" t="str">
            <v>4512</v>
          </cell>
          <cell r="B617" t="str">
            <v>Services</v>
          </cell>
          <cell r="C617" t="str">
            <v>NA</v>
          </cell>
          <cell r="F617" t="str">
            <v>4512</v>
          </cell>
          <cell r="G617" t="str">
            <v>Services</v>
          </cell>
          <cell r="H617" t="str">
            <v>NA</v>
          </cell>
        </row>
        <row r="618">
          <cell r="A618" t="str">
            <v>4513</v>
          </cell>
          <cell r="B618" t="str">
            <v>Services</v>
          </cell>
          <cell r="C618" t="str">
            <v>NA</v>
          </cell>
          <cell r="F618" t="str">
            <v>4513</v>
          </cell>
          <cell r="G618" t="str">
            <v>Services</v>
          </cell>
          <cell r="H618" t="str">
            <v>NA</v>
          </cell>
        </row>
        <row r="619">
          <cell r="A619" t="str">
            <v>4522</v>
          </cell>
          <cell r="B619" t="str">
            <v>Services</v>
          </cell>
          <cell r="C619" t="str">
            <v>NA</v>
          </cell>
          <cell r="F619" t="str">
            <v>4522</v>
          </cell>
          <cell r="G619" t="str">
            <v>Services</v>
          </cell>
          <cell r="H619" t="str">
            <v>NA</v>
          </cell>
        </row>
        <row r="620">
          <cell r="A620" t="str">
            <v>4581</v>
          </cell>
          <cell r="B620" t="str">
            <v>Services</v>
          </cell>
          <cell r="C620" t="str">
            <v>NA</v>
          </cell>
          <cell r="F620" t="str">
            <v>4581</v>
          </cell>
          <cell r="G620" t="str">
            <v>Services</v>
          </cell>
          <cell r="H620" t="str">
            <v>NA</v>
          </cell>
        </row>
        <row r="621">
          <cell r="A621" t="str">
            <v>4612</v>
          </cell>
          <cell r="B621" t="str">
            <v>Services</v>
          </cell>
          <cell r="C621" t="str">
            <v>NA</v>
          </cell>
          <cell r="F621" t="str">
            <v>4612</v>
          </cell>
          <cell r="G621" t="str">
            <v>Services</v>
          </cell>
          <cell r="H621" t="str">
            <v>NA</v>
          </cell>
        </row>
        <row r="622">
          <cell r="A622" t="str">
            <v>4613</v>
          </cell>
          <cell r="B622" t="str">
            <v>Services</v>
          </cell>
          <cell r="C622" t="str">
            <v>NA</v>
          </cell>
          <cell r="F622" t="str">
            <v>4613</v>
          </cell>
          <cell r="G622" t="str">
            <v>Services</v>
          </cell>
          <cell r="H622" t="str">
            <v>NA</v>
          </cell>
        </row>
        <row r="623">
          <cell r="A623" t="str">
            <v>4619</v>
          </cell>
          <cell r="B623" t="str">
            <v>Services</v>
          </cell>
          <cell r="C623" t="str">
            <v>NA</v>
          </cell>
          <cell r="F623" t="str">
            <v>4619</v>
          </cell>
          <cell r="G623" t="str">
            <v>Services</v>
          </cell>
          <cell r="H623" t="str">
            <v>NA</v>
          </cell>
        </row>
        <row r="624">
          <cell r="A624" t="str">
            <v>4724</v>
          </cell>
          <cell r="B624" t="str">
            <v>Services</v>
          </cell>
          <cell r="C624">
            <v>3</v>
          </cell>
          <cell r="F624" t="str">
            <v>4724</v>
          </cell>
          <cell r="G624" t="str">
            <v>Services</v>
          </cell>
          <cell r="H624">
            <v>5</v>
          </cell>
        </row>
        <row r="625">
          <cell r="A625" t="str">
            <v>4725</v>
          </cell>
          <cell r="B625" t="str">
            <v>Services</v>
          </cell>
          <cell r="C625">
            <v>5</v>
          </cell>
          <cell r="F625" t="str">
            <v>4725</v>
          </cell>
          <cell r="G625" t="str">
            <v>Services</v>
          </cell>
          <cell r="H625">
            <v>8</v>
          </cell>
        </row>
        <row r="626">
          <cell r="A626" t="str">
            <v>4729</v>
          </cell>
          <cell r="B626" t="str">
            <v>Services</v>
          </cell>
          <cell r="C626">
            <v>3</v>
          </cell>
          <cell r="F626" t="str">
            <v>4729</v>
          </cell>
          <cell r="G626" t="str">
            <v>Services</v>
          </cell>
          <cell r="H626">
            <v>5</v>
          </cell>
        </row>
        <row r="627">
          <cell r="A627" t="str">
            <v>4731</v>
          </cell>
          <cell r="B627" t="str">
            <v>Services</v>
          </cell>
          <cell r="C627">
            <v>5</v>
          </cell>
          <cell r="F627" t="str">
            <v>4731</v>
          </cell>
          <cell r="G627" t="str">
            <v>Services</v>
          </cell>
          <cell r="H627">
            <v>5</v>
          </cell>
        </row>
        <row r="628">
          <cell r="A628" t="str">
            <v>4741</v>
          </cell>
          <cell r="B628" t="str">
            <v>Services</v>
          </cell>
          <cell r="C628" t="str">
            <v>NA</v>
          </cell>
          <cell r="F628" t="str">
            <v>4741</v>
          </cell>
          <cell r="G628" t="str">
            <v>Services</v>
          </cell>
          <cell r="H628" t="str">
            <v>NA</v>
          </cell>
        </row>
        <row r="629">
          <cell r="A629" t="str">
            <v>4783</v>
          </cell>
          <cell r="B629" t="str">
            <v>Services</v>
          </cell>
          <cell r="C629" t="str">
            <v>NA</v>
          </cell>
          <cell r="F629" t="str">
            <v>4783</v>
          </cell>
          <cell r="G629" t="str">
            <v>Services</v>
          </cell>
          <cell r="H629" t="str">
            <v>NA</v>
          </cell>
        </row>
        <row r="630">
          <cell r="A630" t="str">
            <v>4785</v>
          </cell>
          <cell r="B630" t="str">
            <v>Services</v>
          </cell>
          <cell r="C630" t="str">
            <v>NA</v>
          </cell>
          <cell r="F630" t="str">
            <v>4785</v>
          </cell>
          <cell r="G630" t="str">
            <v>Services</v>
          </cell>
          <cell r="H630" t="str">
            <v>NA</v>
          </cell>
        </row>
        <row r="631">
          <cell r="A631" t="str">
            <v>4789</v>
          </cell>
          <cell r="B631" t="str">
            <v>Services</v>
          </cell>
          <cell r="C631" t="str">
            <v>NA</v>
          </cell>
          <cell r="F631" t="str">
            <v>4789</v>
          </cell>
          <cell r="G631" t="str">
            <v>Services</v>
          </cell>
          <cell r="H631" t="str">
            <v>NA</v>
          </cell>
        </row>
        <row r="632">
          <cell r="A632" t="str">
            <v>4812</v>
          </cell>
          <cell r="B632" t="str">
            <v>Services</v>
          </cell>
          <cell r="C632" t="str">
            <v>NA</v>
          </cell>
          <cell r="F632" t="str">
            <v>4812</v>
          </cell>
          <cell r="G632" t="str">
            <v>Services</v>
          </cell>
          <cell r="H632" t="str">
            <v>NA</v>
          </cell>
        </row>
        <row r="633">
          <cell r="A633" t="str">
            <v>4813</v>
          </cell>
          <cell r="B633" t="str">
            <v>Services</v>
          </cell>
          <cell r="C633" t="str">
            <v>NA</v>
          </cell>
          <cell r="F633" t="str">
            <v>4813</v>
          </cell>
          <cell r="G633" t="str">
            <v>Services</v>
          </cell>
          <cell r="H633" t="str">
            <v>NA</v>
          </cell>
        </row>
        <row r="634">
          <cell r="A634" t="str">
            <v>4822</v>
          </cell>
          <cell r="B634" t="str">
            <v>Services</v>
          </cell>
          <cell r="C634" t="str">
            <v>NA</v>
          </cell>
          <cell r="F634" t="str">
            <v>4822</v>
          </cell>
          <cell r="G634" t="str">
            <v>Services</v>
          </cell>
          <cell r="H634" t="str">
            <v>NA</v>
          </cell>
        </row>
        <row r="635">
          <cell r="A635" t="str">
            <v>4832</v>
          </cell>
          <cell r="B635" t="str">
            <v>Services</v>
          </cell>
          <cell r="C635" t="str">
            <v>NA</v>
          </cell>
          <cell r="F635" t="str">
            <v>4832</v>
          </cell>
          <cell r="G635" t="str">
            <v>Services</v>
          </cell>
          <cell r="H635" t="str">
            <v>NA</v>
          </cell>
        </row>
        <row r="636">
          <cell r="A636" t="str">
            <v>4833</v>
          </cell>
          <cell r="B636" t="str">
            <v>Services</v>
          </cell>
          <cell r="C636" t="str">
            <v>NA</v>
          </cell>
          <cell r="F636" t="str">
            <v>4833</v>
          </cell>
          <cell r="G636" t="str">
            <v>Services</v>
          </cell>
          <cell r="H636" t="str">
            <v>NA</v>
          </cell>
        </row>
        <row r="637">
          <cell r="A637" t="str">
            <v>4841</v>
          </cell>
          <cell r="B637" t="str">
            <v>Services</v>
          </cell>
          <cell r="C637" t="str">
            <v>NA</v>
          </cell>
          <cell r="F637" t="str">
            <v>4841</v>
          </cell>
          <cell r="G637" t="str">
            <v>Services</v>
          </cell>
          <cell r="H637" t="str">
            <v>NA</v>
          </cell>
        </row>
        <row r="638">
          <cell r="A638" t="str">
            <v>4899</v>
          </cell>
          <cell r="B638" t="str">
            <v>Services</v>
          </cell>
          <cell r="C638" t="str">
            <v>NA</v>
          </cell>
          <cell r="F638" t="str">
            <v>4899</v>
          </cell>
          <cell r="G638" t="str">
            <v>Services</v>
          </cell>
          <cell r="H638" t="str">
            <v>NA</v>
          </cell>
        </row>
        <row r="639">
          <cell r="A639" t="str">
            <v>4911</v>
          </cell>
          <cell r="B639" t="str">
            <v>Services</v>
          </cell>
          <cell r="C639" t="str">
            <v>NA</v>
          </cell>
          <cell r="F639" t="str">
            <v>4911</v>
          </cell>
          <cell r="G639" t="str">
            <v>Services</v>
          </cell>
          <cell r="H639" t="str">
            <v>NA</v>
          </cell>
        </row>
        <row r="640">
          <cell r="A640" t="str">
            <v>4922</v>
          </cell>
          <cell r="B640" t="str">
            <v>Services</v>
          </cell>
          <cell r="C640" t="str">
            <v>NA</v>
          </cell>
          <cell r="F640" t="str">
            <v>4922</v>
          </cell>
          <cell r="G640" t="str">
            <v>Services</v>
          </cell>
          <cell r="H640" t="str">
            <v>NA</v>
          </cell>
        </row>
        <row r="641">
          <cell r="A641" t="str">
            <v>4923</v>
          </cell>
          <cell r="B641" t="str">
            <v>Services</v>
          </cell>
          <cell r="C641" t="str">
            <v>NA</v>
          </cell>
          <cell r="F641" t="str">
            <v>4923</v>
          </cell>
          <cell r="G641" t="str">
            <v>Services</v>
          </cell>
          <cell r="H641" t="str">
            <v>NA</v>
          </cell>
        </row>
        <row r="642">
          <cell r="A642" t="str">
            <v>4924</v>
          </cell>
          <cell r="B642" t="str">
            <v>Services</v>
          </cell>
          <cell r="C642" t="str">
            <v>NA</v>
          </cell>
          <cell r="F642" t="str">
            <v>4924</v>
          </cell>
          <cell r="G642" t="str">
            <v>Services</v>
          </cell>
          <cell r="H642" t="str">
            <v>NA</v>
          </cell>
        </row>
        <row r="643">
          <cell r="A643" t="str">
            <v>4925</v>
          </cell>
          <cell r="B643" t="str">
            <v>Services</v>
          </cell>
          <cell r="C643" t="str">
            <v>NA</v>
          </cell>
          <cell r="F643" t="str">
            <v>4925</v>
          </cell>
          <cell r="G643" t="str">
            <v>Services</v>
          </cell>
          <cell r="H643" t="str">
            <v>NA</v>
          </cell>
        </row>
        <row r="644">
          <cell r="A644" t="str">
            <v>4931</v>
          </cell>
          <cell r="B644" t="str">
            <v>Services</v>
          </cell>
          <cell r="C644" t="str">
            <v>NA</v>
          </cell>
          <cell r="F644" t="str">
            <v>4931</v>
          </cell>
          <cell r="G644" t="str">
            <v>Services</v>
          </cell>
          <cell r="H644" t="str">
            <v>NA</v>
          </cell>
        </row>
        <row r="645">
          <cell r="A645" t="str">
            <v>4932</v>
          </cell>
          <cell r="B645" t="str">
            <v>Services</v>
          </cell>
          <cell r="C645" t="str">
            <v>NA</v>
          </cell>
          <cell r="F645" t="str">
            <v>4932</v>
          </cell>
          <cell r="G645" t="str">
            <v>Services</v>
          </cell>
          <cell r="H645" t="str">
            <v>NA</v>
          </cell>
        </row>
        <row r="646">
          <cell r="A646" t="str">
            <v>4939</v>
          </cell>
          <cell r="B646" t="str">
            <v>Services</v>
          </cell>
          <cell r="C646" t="str">
            <v>NA</v>
          </cell>
          <cell r="F646" t="str">
            <v>4939</v>
          </cell>
          <cell r="G646" t="str">
            <v>Services</v>
          </cell>
          <cell r="H646" t="str">
            <v>NA</v>
          </cell>
        </row>
        <row r="647">
          <cell r="A647" t="str">
            <v>4941</v>
          </cell>
          <cell r="B647" t="str">
            <v>Services</v>
          </cell>
          <cell r="C647" t="str">
            <v>NA</v>
          </cell>
          <cell r="F647" t="str">
            <v>4941</v>
          </cell>
          <cell r="G647" t="str">
            <v>Services</v>
          </cell>
          <cell r="H647" t="str">
            <v>NA</v>
          </cell>
        </row>
        <row r="648">
          <cell r="A648" t="str">
            <v>4952</v>
          </cell>
          <cell r="B648" t="str">
            <v>Services</v>
          </cell>
          <cell r="C648" t="str">
            <v>NA</v>
          </cell>
          <cell r="F648" t="str">
            <v>4952</v>
          </cell>
          <cell r="G648" t="str">
            <v>Services</v>
          </cell>
          <cell r="H648" t="str">
            <v>NA</v>
          </cell>
        </row>
        <row r="649">
          <cell r="A649" t="str">
            <v>4953</v>
          </cell>
          <cell r="B649" t="str">
            <v>Services</v>
          </cell>
          <cell r="C649" t="str">
            <v>NA</v>
          </cell>
          <cell r="F649" t="str">
            <v>4953</v>
          </cell>
          <cell r="G649" t="str">
            <v>Services</v>
          </cell>
          <cell r="H649" t="str">
            <v>NA</v>
          </cell>
        </row>
        <row r="650">
          <cell r="A650" t="str">
            <v>4959</v>
          </cell>
          <cell r="B650" t="str">
            <v>Services</v>
          </cell>
          <cell r="C650" t="str">
            <v>NA</v>
          </cell>
          <cell r="F650" t="str">
            <v>4959</v>
          </cell>
          <cell r="G650" t="str">
            <v>Services</v>
          </cell>
          <cell r="H650" t="str">
            <v>NA</v>
          </cell>
        </row>
        <row r="651">
          <cell r="A651" t="str">
            <v>4961</v>
          </cell>
          <cell r="B651" t="str">
            <v>Services</v>
          </cell>
          <cell r="C651" t="str">
            <v>NA</v>
          </cell>
          <cell r="F651" t="str">
            <v>4961</v>
          </cell>
          <cell r="G651" t="str">
            <v>Services</v>
          </cell>
          <cell r="H651" t="str">
            <v>NA</v>
          </cell>
        </row>
        <row r="652">
          <cell r="A652" t="str">
            <v>4971</v>
          </cell>
          <cell r="B652" t="str">
            <v>Services</v>
          </cell>
          <cell r="C652" t="str">
            <v>NA</v>
          </cell>
          <cell r="F652" t="str">
            <v>4971</v>
          </cell>
          <cell r="G652" t="str">
            <v>Services</v>
          </cell>
          <cell r="H652" t="str">
            <v>NA</v>
          </cell>
        </row>
        <row r="653">
          <cell r="A653" t="str">
            <v>5012</v>
          </cell>
          <cell r="B653" t="str">
            <v>Wholesale</v>
          </cell>
          <cell r="C653" t="str">
            <v>NA</v>
          </cell>
          <cell r="F653" t="str">
            <v>5012</v>
          </cell>
          <cell r="G653" t="str">
            <v>Wholesale</v>
          </cell>
          <cell r="H653" t="str">
            <v>NA</v>
          </cell>
        </row>
        <row r="654">
          <cell r="A654" t="str">
            <v>5013</v>
          </cell>
          <cell r="B654" t="str">
            <v>Wholesale</v>
          </cell>
          <cell r="C654">
            <v>3</v>
          </cell>
          <cell r="F654" t="str">
            <v>5013</v>
          </cell>
          <cell r="G654" t="str">
            <v>Wholesale</v>
          </cell>
          <cell r="H654">
            <v>5</v>
          </cell>
        </row>
        <row r="655">
          <cell r="A655" t="str">
            <v>5014</v>
          </cell>
          <cell r="B655" t="str">
            <v>Wholesale</v>
          </cell>
          <cell r="C655">
            <v>9</v>
          </cell>
          <cell r="F655" t="str">
            <v>5014</v>
          </cell>
          <cell r="G655" t="str">
            <v>Wholesale</v>
          </cell>
          <cell r="H655">
            <v>9</v>
          </cell>
        </row>
        <row r="656">
          <cell r="A656" t="str">
            <v>5015</v>
          </cell>
          <cell r="B656" t="str">
            <v>Wholesale</v>
          </cell>
          <cell r="C656">
            <v>7</v>
          </cell>
          <cell r="F656" t="str">
            <v>5015</v>
          </cell>
          <cell r="G656" t="str">
            <v>Wholesale</v>
          </cell>
          <cell r="H656">
            <v>8</v>
          </cell>
        </row>
        <row r="657">
          <cell r="A657" t="str">
            <v>5021</v>
          </cell>
          <cell r="B657" t="str">
            <v>Wholesale</v>
          </cell>
          <cell r="C657">
            <v>7</v>
          </cell>
          <cell r="F657" t="str">
            <v>5021</v>
          </cell>
          <cell r="G657" t="str">
            <v>Wholesale</v>
          </cell>
          <cell r="H657">
            <v>7</v>
          </cell>
        </row>
        <row r="658">
          <cell r="A658" t="str">
            <v>5023</v>
          </cell>
          <cell r="B658" t="str">
            <v>Wholesale</v>
          </cell>
          <cell r="C658">
            <v>5</v>
          </cell>
          <cell r="F658" t="str">
            <v>5023</v>
          </cell>
          <cell r="G658" t="str">
            <v>Wholesale</v>
          </cell>
          <cell r="H658">
            <v>5</v>
          </cell>
        </row>
        <row r="659">
          <cell r="A659" t="str">
            <v>5031</v>
          </cell>
          <cell r="B659" t="str">
            <v>Wholesale</v>
          </cell>
          <cell r="C659">
            <v>10</v>
          </cell>
          <cell r="F659" t="str">
            <v>5031</v>
          </cell>
          <cell r="G659" t="str">
            <v>Wholesale</v>
          </cell>
          <cell r="H659">
            <v>7</v>
          </cell>
        </row>
        <row r="660">
          <cell r="A660" t="str">
            <v>5032</v>
          </cell>
          <cell r="B660" t="str">
            <v>Wholesale</v>
          </cell>
          <cell r="C660">
            <v>3</v>
          </cell>
          <cell r="F660" t="str">
            <v>5032</v>
          </cell>
          <cell r="G660" t="str">
            <v>Wholesale</v>
          </cell>
          <cell r="H660">
            <v>3</v>
          </cell>
        </row>
        <row r="661">
          <cell r="A661" t="str">
            <v>5033</v>
          </cell>
          <cell r="B661" t="str">
            <v>Wholesale</v>
          </cell>
          <cell r="C661">
            <v>7</v>
          </cell>
          <cell r="F661" t="str">
            <v>5033</v>
          </cell>
          <cell r="G661" t="str">
            <v>Wholesale</v>
          </cell>
          <cell r="H661">
            <v>7</v>
          </cell>
        </row>
        <row r="662">
          <cell r="A662" t="str">
            <v>5039</v>
          </cell>
          <cell r="B662" t="str">
            <v>Wholesale</v>
          </cell>
          <cell r="C662">
            <v>5</v>
          </cell>
          <cell r="F662" t="str">
            <v>5039</v>
          </cell>
          <cell r="G662" t="str">
            <v>Wholesale</v>
          </cell>
          <cell r="H662">
            <v>6</v>
          </cell>
        </row>
        <row r="663">
          <cell r="A663" t="str">
            <v>5043</v>
          </cell>
          <cell r="B663" t="str">
            <v>Wholesale</v>
          </cell>
          <cell r="C663">
            <v>4</v>
          </cell>
          <cell r="F663" t="str">
            <v>5043</v>
          </cell>
          <cell r="G663" t="str">
            <v>Wholesale</v>
          </cell>
          <cell r="H663">
            <v>5</v>
          </cell>
        </row>
        <row r="664">
          <cell r="A664" t="str">
            <v>5044</v>
          </cell>
          <cell r="B664" t="str">
            <v>Wholesale</v>
          </cell>
          <cell r="C664">
            <v>3</v>
          </cell>
          <cell r="F664" t="str">
            <v>5044</v>
          </cell>
          <cell r="G664" t="str">
            <v>Wholesale</v>
          </cell>
          <cell r="H664">
            <v>5</v>
          </cell>
        </row>
        <row r="665">
          <cell r="A665" t="str">
            <v>5045</v>
          </cell>
          <cell r="B665" t="str">
            <v>Wholesale</v>
          </cell>
          <cell r="C665">
            <v>7</v>
          </cell>
          <cell r="F665" t="str">
            <v>5045</v>
          </cell>
          <cell r="G665" t="str">
            <v>Wholesale</v>
          </cell>
          <cell r="H665">
            <v>7</v>
          </cell>
        </row>
        <row r="666">
          <cell r="A666" t="str">
            <v>5046</v>
          </cell>
          <cell r="B666" t="str">
            <v>Wholesale</v>
          </cell>
          <cell r="C666">
            <v>5</v>
          </cell>
          <cell r="F666" t="str">
            <v>5046</v>
          </cell>
          <cell r="G666" t="str">
            <v>Wholesale</v>
          </cell>
          <cell r="H666">
            <v>5</v>
          </cell>
        </row>
        <row r="667">
          <cell r="A667" t="str">
            <v>5047</v>
          </cell>
          <cell r="B667" t="str">
            <v>Wholesale</v>
          </cell>
          <cell r="C667">
            <v>7</v>
          </cell>
          <cell r="F667" t="str">
            <v>5047</v>
          </cell>
          <cell r="G667" t="str">
            <v>Wholesale</v>
          </cell>
          <cell r="H667">
            <v>10</v>
          </cell>
        </row>
        <row r="668">
          <cell r="A668" t="str">
            <v>5048</v>
          </cell>
          <cell r="B668" t="str">
            <v>Wholesale</v>
          </cell>
          <cell r="C668">
            <v>3</v>
          </cell>
          <cell r="F668" t="str">
            <v>5048</v>
          </cell>
          <cell r="G668" t="str">
            <v>Wholesale</v>
          </cell>
          <cell r="H668">
            <v>3</v>
          </cell>
        </row>
        <row r="669">
          <cell r="A669" t="str">
            <v>5049</v>
          </cell>
          <cell r="B669" t="str">
            <v>Wholesale</v>
          </cell>
          <cell r="C669">
            <v>5</v>
          </cell>
          <cell r="F669" t="str">
            <v>5049</v>
          </cell>
          <cell r="G669" t="str">
            <v>Wholesale</v>
          </cell>
          <cell r="H669">
            <v>5</v>
          </cell>
        </row>
        <row r="670">
          <cell r="A670" t="str">
            <v>5051</v>
          </cell>
          <cell r="B670" t="str">
            <v>Wholesale</v>
          </cell>
          <cell r="C670">
            <v>7</v>
          </cell>
          <cell r="F670" t="str">
            <v>5051</v>
          </cell>
          <cell r="G670" t="str">
            <v>Wholesale</v>
          </cell>
          <cell r="H670">
            <v>3</v>
          </cell>
        </row>
        <row r="671">
          <cell r="A671" t="str">
            <v>5052</v>
          </cell>
          <cell r="B671" t="str">
            <v>Wholesale</v>
          </cell>
          <cell r="C671">
            <v>8</v>
          </cell>
          <cell r="F671" t="str">
            <v>5052</v>
          </cell>
          <cell r="G671" t="str">
            <v>Wholesale</v>
          </cell>
          <cell r="H671">
            <v>10</v>
          </cell>
        </row>
        <row r="672">
          <cell r="A672" t="str">
            <v>5063</v>
          </cell>
          <cell r="B672" t="str">
            <v>Wholesale</v>
          </cell>
          <cell r="C672">
            <v>8</v>
          </cell>
          <cell r="F672" t="str">
            <v>5063</v>
          </cell>
          <cell r="G672" t="str">
            <v>Wholesale</v>
          </cell>
          <cell r="H672">
            <v>10</v>
          </cell>
        </row>
        <row r="673">
          <cell r="A673" t="str">
            <v>5064</v>
          </cell>
          <cell r="B673" t="str">
            <v>Wholesale</v>
          </cell>
          <cell r="C673">
            <v>3</v>
          </cell>
          <cell r="F673" t="str">
            <v>5064</v>
          </cell>
          <cell r="G673" t="str">
            <v>Wholesale</v>
          </cell>
          <cell r="H673">
            <v>8</v>
          </cell>
        </row>
        <row r="674">
          <cell r="A674" t="str">
            <v>5065</v>
          </cell>
          <cell r="B674" t="str">
            <v>Wholesale</v>
          </cell>
          <cell r="C674">
            <v>3</v>
          </cell>
          <cell r="F674" t="str">
            <v>5065</v>
          </cell>
          <cell r="G674" t="str">
            <v>Wholesale</v>
          </cell>
          <cell r="H674">
            <v>8</v>
          </cell>
        </row>
        <row r="675">
          <cell r="A675" t="str">
            <v>5072</v>
          </cell>
          <cell r="B675" t="str">
            <v>Wholesale</v>
          </cell>
          <cell r="C675">
            <v>2</v>
          </cell>
          <cell r="F675" t="str">
            <v>5072</v>
          </cell>
          <cell r="G675" t="str">
            <v>Wholesale</v>
          </cell>
          <cell r="H675">
            <v>7</v>
          </cell>
        </row>
        <row r="676">
          <cell r="A676" t="str">
            <v>5074</v>
          </cell>
          <cell r="B676" t="str">
            <v>Wholesale</v>
          </cell>
          <cell r="C676">
            <v>4</v>
          </cell>
          <cell r="F676" t="str">
            <v>5074</v>
          </cell>
          <cell r="G676" t="str">
            <v>Wholesale</v>
          </cell>
          <cell r="H676">
            <v>8</v>
          </cell>
        </row>
        <row r="677">
          <cell r="A677" t="str">
            <v>5075</v>
          </cell>
          <cell r="B677" t="str">
            <v>Wholesale</v>
          </cell>
          <cell r="C677">
            <v>5</v>
          </cell>
          <cell r="F677" t="str">
            <v>5075</v>
          </cell>
          <cell r="G677" t="str">
            <v>Wholesale</v>
          </cell>
          <cell r="H677">
            <v>7</v>
          </cell>
        </row>
        <row r="678">
          <cell r="A678" t="str">
            <v>5078</v>
          </cell>
          <cell r="B678" t="str">
            <v>Wholesale</v>
          </cell>
          <cell r="C678">
            <v>3</v>
          </cell>
          <cell r="F678" t="str">
            <v>5078</v>
          </cell>
          <cell r="G678" t="str">
            <v>Wholesale</v>
          </cell>
          <cell r="H678">
            <v>6</v>
          </cell>
        </row>
        <row r="679">
          <cell r="A679" t="str">
            <v>5082</v>
          </cell>
          <cell r="B679" t="str">
            <v>Wholesale</v>
          </cell>
          <cell r="C679">
            <v>7</v>
          </cell>
          <cell r="F679" t="str">
            <v>5082</v>
          </cell>
          <cell r="G679" t="str">
            <v>Wholesale</v>
          </cell>
          <cell r="H679">
            <v>10</v>
          </cell>
        </row>
        <row r="680">
          <cell r="A680" t="str">
            <v>5083</v>
          </cell>
          <cell r="B680" t="str">
            <v>Wholesale</v>
          </cell>
          <cell r="C680">
            <v>6</v>
          </cell>
          <cell r="F680" t="str">
            <v>5083</v>
          </cell>
          <cell r="G680" t="str">
            <v>Wholesale</v>
          </cell>
          <cell r="H680">
            <v>9</v>
          </cell>
        </row>
        <row r="681">
          <cell r="A681" t="str">
            <v>5084</v>
          </cell>
          <cell r="B681" t="str">
            <v>Wholesale</v>
          </cell>
          <cell r="C681">
            <v>6</v>
          </cell>
          <cell r="F681" t="str">
            <v>5084</v>
          </cell>
          <cell r="G681" t="str">
            <v>Wholesale</v>
          </cell>
          <cell r="H681">
            <v>10</v>
          </cell>
        </row>
        <row r="682">
          <cell r="A682" t="str">
            <v>5085</v>
          </cell>
          <cell r="B682" t="str">
            <v>Wholesale</v>
          </cell>
          <cell r="C682">
            <v>5</v>
          </cell>
          <cell r="F682" t="str">
            <v>5085</v>
          </cell>
          <cell r="G682" t="str">
            <v>Wholesale</v>
          </cell>
          <cell r="H682">
            <v>7</v>
          </cell>
        </row>
        <row r="683">
          <cell r="A683" t="str">
            <v>5087</v>
          </cell>
          <cell r="B683" t="str">
            <v>Wholesale</v>
          </cell>
          <cell r="C683">
            <v>5</v>
          </cell>
          <cell r="F683" t="str">
            <v>5087</v>
          </cell>
          <cell r="G683" t="str">
            <v>Wholesale</v>
          </cell>
          <cell r="H683">
            <v>5</v>
          </cell>
        </row>
        <row r="684">
          <cell r="A684" t="str">
            <v>5088</v>
          </cell>
          <cell r="B684" t="str">
            <v>Wholesale</v>
          </cell>
          <cell r="C684" t="str">
            <v>NA</v>
          </cell>
          <cell r="F684" t="str">
            <v>5088</v>
          </cell>
          <cell r="G684" t="str">
            <v>Wholesale</v>
          </cell>
          <cell r="H684" t="str">
            <v>NA</v>
          </cell>
        </row>
        <row r="685">
          <cell r="A685" t="str">
            <v>5091</v>
          </cell>
          <cell r="B685" t="str">
            <v>Wholesale</v>
          </cell>
          <cell r="C685">
            <v>7</v>
          </cell>
          <cell r="F685" t="str">
            <v>5091</v>
          </cell>
          <cell r="G685" t="str">
            <v>Wholesale</v>
          </cell>
          <cell r="H685">
            <v>8</v>
          </cell>
        </row>
        <row r="686">
          <cell r="A686" t="str">
            <v>5092</v>
          </cell>
          <cell r="B686" t="str">
            <v>Wholesale</v>
          </cell>
          <cell r="C686">
            <v>4</v>
          </cell>
          <cell r="F686" t="str">
            <v>5092</v>
          </cell>
          <cell r="G686" t="str">
            <v>Wholesale</v>
          </cell>
          <cell r="H686">
            <v>8</v>
          </cell>
        </row>
        <row r="687">
          <cell r="A687" t="str">
            <v>5093</v>
          </cell>
          <cell r="B687" t="str">
            <v>Wholesale</v>
          </cell>
          <cell r="C687">
            <v>8</v>
          </cell>
          <cell r="F687" t="str">
            <v>5093</v>
          </cell>
          <cell r="G687" t="str">
            <v>Wholesale</v>
          </cell>
          <cell r="H687">
            <v>7</v>
          </cell>
        </row>
        <row r="688">
          <cell r="A688" t="str">
            <v>5094</v>
          </cell>
          <cell r="B688" t="str">
            <v>Wholesale</v>
          </cell>
          <cell r="C688">
            <v>9</v>
          </cell>
          <cell r="F688" t="str">
            <v>5094</v>
          </cell>
          <cell r="G688" t="str">
            <v>Wholesale</v>
          </cell>
          <cell r="H688">
            <v>3</v>
          </cell>
        </row>
        <row r="689">
          <cell r="A689" t="str">
            <v>5099</v>
          </cell>
          <cell r="B689" t="str">
            <v>Wholesale</v>
          </cell>
          <cell r="C689">
            <v>5</v>
          </cell>
          <cell r="F689" t="str">
            <v>5099</v>
          </cell>
          <cell r="G689" t="str">
            <v>Wholesale</v>
          </cell>
          <cell r="H689">
            <v>5</v>
          </cell>
        </row>
        <row r="690">
          <cell r="A690" t="str">
            <v>5111</v>
          </cell>
          <cell r="B690" t="str">
            <v>Wholesale</v>
          </cell>
          <cell r="C690">
            <v>7</v>
          </cell>
          <cell r="F690" t="str">
            <v>5111</v>
          </cell>
          <cell r="G690" t="str">
            <v>Wholesale</v>
          </cell>
          <cell r="H690">
            <v>2</v>
          </cell>
        </row>
        <row r="691">
          <cell r="A691" t="str">
            <v>5112</v>
          </cell>
          <cell r="B691" t="str">
            <v>Wholesale</v>
          </cell>
          <cell r="C691">
            <v>6</v>
          </cell>
          <cell r="F691" t="str">
            <v>5112</v>
          </cell>
          <cell r="G691" t="str">
            <v>Wholesale</v>
          </cell>
          <cell r="H691">
            <v>2</v>
          </cell>
        </row>
        <row r="692">
          <cell r="A692" t="str">
            <v>5113</v>
          </cell>
          <cell r="B692" t="str">
            <v>Wholesale</v>
          </cell>
          <cell r="C692">
            <v>8</v>
          </cell>
          <cell r="F692" t="str">
            <v>5113</v>
          </cell>
          <cell r="G692" t="str">
            <v>Wholesale</v>
          </cell>
          <cell r="H692">
            <v>4</v>
          </cell>
        </row>
        <row r="693">
          <cell r="A693" t="str">
            <v>5122</v>
          </cell>
          <cell r="B693" t="str">
            <v>Wholesale</v>
          </cell>
          <cell r="C693">
            <v>6</v>
          </cell>
          <cell r="F693" t="str">
            <v>5122</v>
          </cell>
          <cell r="G693" t="str">
            <v>Wholesale</v>
          </cell>
          <cell r="H693">
            <v>9</v>
          </cell>
        </row>
        <row r="694">
          <cell r="A694" t="str">
            <v>5131</v>
          </cell>
          <cell r="B694" t="str">
            <v>Wholesale</v>
          </cell>
          <cell r="C694">
            <v>7</v>
          </cell>
          <cell r="F694" t="str">
            <v>5131</v>
          </cell>
          <cell r="G694" t="str">
            <v>Wholesale</v>
          </cell>
          <cell r="H694">
            <v>3</v>
          </cell>
        </row>
        <row r="695">
          <cell r="A695" t="str">
            <v>5136</v>
          </cell>
          <cell r="B695" t="str">
            <v>Wholesale</v>
          </cell>
          <cell r="C695">
            <v>5</v>
          </cell>
          <cell r="F695" t="str">
            <v>5136</v>
          </cell>
          <cell r="G695" t="str">
            <v>Wholesale</v>
          </cell>
          <cell r="H695">
            <v>3</v>
          </cell>
        </row>
        <row r="696">
          <cell r="A696" t="str">
            <v>5137</v>
          </cell>
          <cell r="B696" t="str">
            <v>Wholesale</v>
          </cell>
          <cell r="C696">
            <v>5</v>
          </cell>
          <cell r="F696" t="str">
            <v>5137</v>
          </cell>
          <cell r="G696" t="str">
            <v>Wholesale</v>
          </cell>
          <cell r="H696">
            <v>5</v>
          </cell>
        </row>
        <row r="697">
          <cell r="A697" t="str">
            <v>5139</v>
          </cell>
          <cell r="B697" t="str">
            <v>Wholesale</v>
          </cell>
          <cell r="C697">
            <v>3</v>
          </cell>
          <cell r="F697" t="str">
            <v>5139</v>
          </cell>
          <cell r="G697" t="str">
            <v>Wholesale</v>
          </cell>
          <cell r="H697">
            <v>3</v>
          </cell>
        </row>
        <row r="698">
          <cell r="A698" t="str">
            <v>5141</v>
          </cell>
          <cell r="B698" t="str">
            <v>Wholesale</v>
          </cell>
          <cell r="C698">
            <v>3</v>
          </cell>
          <cell r="F698" t="str">
            <v>5141</v>
          </cell>
          <cell r="G698" t="str">
            <v>Wholesale</v>
          </cell>
          <cell r="H698">
            <v>3</v>
          </cell>
        </row>
        <row r="699">
          <cell r="A699" t="str">
            <v>5142</v>
          </cell>
          <cell r="B699" t="str">
            <v>Wholesale</v>
          </cell>
          <cell r="C699">
            <v>5</v>
          </cell>
          <cell r="F699" t="str">
            <v>5142</v>
          </cell>
          <cell r="G699" t="str">
            <v>Wholesale</v>
          </cell>
          <cell r="H699">
            <v>3</v>
          </cell>
        </row>
        <row r="700">
          <cell r="A700" t="str">
            <v>5143</v>
          </cell>
          <cell r="B700" t="str">
            <v>Wholesale</v>
          </cell>
          <cell r="C700">
            <v>5</v>
          </cell>
          <cell r="F700" t="str">
            <v>5143</v>
          </cell>
          <cell r="G700" t="str">
            <v>Wholesale</v>
          </cell>
          <cell r="H700">
            <v>8</v>
          </cell>
        </row>
        <row r="701">
          <cell r="A701" t="str">
            <v>5144</v>
          </cell>
          <cell r="B701" t="str">
            <v>Wholesale</v>
          </cell>
          <cell r="C701">
            <v>9</v>
          </cell>
          <cell r="F701" t="str">
            <v>5144</v>
          </cell>
          <cell r="G701" t="str">
            <v>Wholesale</v>
          </cell>
          <cell r="H701">
            <v>9</v>
          </cell>
        </row>
        <row r="702">
          <cell r="A702" t="str">
            <v>5145</v>
          </cell>
          <cell r="B702" t="str">
            <v>Wholesale</v>
          </cell>
          <cell r="C702">
            <v>3</v>
          </cell>
          <cell r="F702" t="str">
            <v>5145</v>
          </cell>
          <cell r="G702" t="str">
            <v>Wholesale</v>
          </cell>
          <cell r="H702">
            <v>2</v>
          </cell>
        </row>
        <row r="703">
          <cell r="A703" t="str">
            <v>5146</v>
          </cell>
          <cell r="B703" t="str">
            <v>Wholesale</v>
          </cell>
          <cell r="C703">
            <v>7</v>
          </cell>
          <cell r="F703" t="str">
            <v>5146</v>
          </cell>
          <cell r="G703" t="str">
            <v>Wholesale</v>
          </cell>
          <cell r="H703">
            <v>8</v>
          </cell>
        </row>
        <row r="704">
          <cell r="A704" t="str">
            <v>5147</v>
          </cell>
          <cell r="B704" t="str">
            <v>Wholesale</v>
          </cell>
          <cell r="C704">
            <v>8</v>
          </cell>
          <cell r="F704" t="str">
            <v>5147</v>
          </cell>
          <cell r="G704" t="str">
            <v>Wholesale</v>
          </cell>
          <cell r="H704">
            <v>8</v>
          </cell>
        </row>
        <row r="705">
          <cell r="A705" t="str">
            <v>5148</v>
          </cell>
          <cell r="B705" t="str">
            <v>Wholesale</v>
          </cell>
          <cell r="C705">
            <v>3</v>
          </cell>
          <cell r="F705" t="str">
            <v>5148</v>
          </cell>
          <cell r="G705" t="str">
            <v>Wholesale</v>
          </cell>
          <cell r="H705">
            <v>4</v>
          </cell>
        </row>
        <row r="706">
          <cell r="A706" t="str">
            <v>5149</v>
          </cell>
          <cell r="B706" t="str">
            <v>Wholesale</v>
          </cell>
          <cell r="C706">
            <v>5</v>
          </cell>
          <cell r="F706" t="str">
            <v>5149</v>
          </cell>
          <cell r="G706" t="str">
            <v>Wholesale</v>
          </cell>
          <cell r="H706">
            <v>5</v>
          </cell>
        </row>
        <row r="707">
          <cell r="A707" t="str">
            <v>5153</v>
          </cell>
          <cell r="B707" t="str">
            <v>Wholesale</v>
          </cell>
          <cell r="C707" t="str">
            <v>NA</v>
          </cell>
          <cell r="F707" t="str">
            <v>5153</v>
          </cell>
          <cell r="G707" t="str">
            <v>Wholesale</v>
          </cell>
          <cell r="H707" t="str">
            <v>NA</v>
          </cell>
        </row>
        <row r="708">
          <cell r="A708" t="str">
            <v>5154</v>
          </cell>
          <cell r="B708" t="str">
            <v>Wholesale</v>
          </cell>
          <cell r="C708" t="str">
            <v>NA</v>
          </cell>
          <cell r="F708" t="str">
            <v>5154</v>
          </cell>
          <cell r="G708" t="str">
            <v>Wholesale</v>
          </cell>
          <cell r="H708" t="str">
            <v>NA</v>
          </cell>
        </row>
        <row r="709">
          <cell r="A709" t="str">
            <v>5159</v>
          </cell>
          <cell r="B709" t="str">
            <v>Wholesale</v>
          </cell>
          <cell r="C709" t="str">
            <v>NA</v>
          </cell>
          <cell r="F709" t="str">
            <v>5159</v>
          </cell>
          <cell r="G709" t="str">
            <v>Wholesale</v>
          </cell>
          <cell r="H709" t="str">
            <v>NA</v>
          </cell>
        </row>
        <row r="710">
          <cell r="A710" t="str">
            <v>5162</v>
          </cell>
          <cell r="B710" t="str">
            <v>Wholesale</v>
          </cell>
          <cell r="C710">
            <v>5</v>
          </cell>
          <cell r="F710" t="str">
            <v>5162</v>
          </cell>
          <cell r="G710" t="str">
            <v>Wholesale</v>
          </cell>
          <cell r="H710">
            <v>5</v>
          </cell>
        </row>
        <row r="711">
          <cell r="A711" t="str">
            <v>5169</v>
          </cell>
          <cell r="B711" t="str">
            <v>Wholesale</v>
          </cell>
          <cell r="C711" t="str">
            <v>NA</v>
          </cell>
          <cell r="F711" t="str">
            <v>5169</v>
          </cell>
          <cell r="G711" t="str">
            <v>Wholesale</v>
          </cell>
          <cell r="H711" t="str">
            <v>NA</v>
          </cell>
        </row>
        <row r="712">
          <cell r="A712" t="str">
            <v>5171</v>
          </cell>
          <cell r="B712" t="str">
            <v>Wholesale</v>
          </cell>
          <cell r="C712" t="str">
            <v>NA</v>
          </cell>
          <cell r="F712" t="str">
            <v>5171</v>
          </cell>
          <cell r="G712" t="str">
            <v>Wholesale</v>
          </cell>
          <cell r="H712" t="str">
            <v>NA</v>
          </cell>
        </row>
        <row r="713">
          <cell r="A713" t="str">
            <v>5172</v>
          </cell>
          <cell r="B713" t="str">
            <v>Wholesale</v>
          </cell>
          <cell r="C713" t="str">
            <v>NA</v>
          </cell>
          <cell r="F713" t="str">
            <v>5172</v>
          </cell>
          <cell r="G713" t="str">
            <v>Wholesale</v>
          </cell>
          <cell r="H713" t="str">
            <v>NA</v>
          </cell>
        </row>
        <row r="714">
          <cell r="A714" t="str">
            <v>5181</v>
          </cell>
          <cell r="B714" t="str">
            <v>Wholesale</v>
          </cell>
          <cell r="C714">
            <v>7</v>
          </cell>
          <cell r="F714" t="str">
            <v>5181</v>
          </cell>
          <cell r="G714" t="str">
            <v>Wholesale</v>
          </cell>
          <cell r="H714">
            <v>5</v>
          </cell>
        </row>
        <row r="715">
          <cell r="A715" t="str">
            <v>5182</v>
          </cell>
          <cell r="B715" t="str">
            <v>Wholesale</v>
          </cell>
          <cell r="C715">
            <v>8</v>
          </cell>
          <cell r="F715" t="str">
            <v>5182</v>
          </cell>
          <cell r="G715" t="str">
            <v>Wholesale</v>
          </cell>
          <cell r="H715">
            <v>5</v>
          </cell>
        </row>
        <row r="716">
          <cell r="A716" t="str">
            <v>5191</v>
          </cell>
          <cell r="B716" t="str">
            <v>Wholesale</v>
          </cell>
          <cell r="C716">
            <v>10</v>
          </cell>
          <cell r="F716" t="str">
            <v>5191</v>
          </cell>
          <cell r="G716" t="str">
            <v>Wholesale</v>
          </cell>
          <cell r="H716">
            <v>10</v>
          </cell>
        </row>
        <row r="717">
          <cell r="A717" t="str">
            <v>5192</v>
          </cell>
          <cell r="B717" t="str">
            <v>Wholesale</v>
          </cell>
          <cell r="C717">
            <v>6</v>
          </cell>
          <cell r="F717" t="str">
            <v>5192</v>
          </cell>
          <cell r="G717" t="str">
            <v>Wholesale</v>
          </cell>
          <cell r="H717">
            <v>3</v>
          </cell>
        </row>
        <row r="718">
          <cell r="A718" t="str">
            <v>5193</v>
          </cell>
          <cell r="B718" t="str">
            <v>Wholesale</v>
          </cell>
          <cell r="C718">
            <v>4</v>
          </cell>
          <cell r="F718" t="str">
            <v>5193</v>
          </cell>
          <cell r="G718" t="str">
            <v>Wholesale</v>
          </cell>
          <cell r="H718">
            <v>2</v>
          </cell>
        </row>
        <row r="719">
          <cell r="A719" t="str">
            <v>5194</v>
          </cell>
          <cell r="B719" t="str">
            <v>Wholesale</v>
          </cell>
          <cell r="C719" t="str">
            <v>NA</v>
          </cell>
          <cell r="F719" t="str">
            <v>5194</v>
          </cell>
          <cell r="G719" t="str">
            <v>Wholesale</v>
          </cell>
          <cell r="H719" t="str">
            <v>NA</v>
          </cell>
        </row>
        <row r="720">
          <cell r="A720" t="str">
            <v>5198</v>
          </cell>
          <cell r="B720" t="str">
            <v>Wholesale</v>
          </cell>
          <cell r="C720">
            <v>10</v>
          </cell>
          <cell r="F720" t="str">
            <v>5198</v>
          </cell>
          <cell r="G720" t="str">
            <v>Wholesale</v>
          </cell>
          <cell r="H720">
            <v>10</v>
          </cell>
        </row>
        <row r="721">
          <cell r="A721" t="str">
            <v>5199</v>
          </cell>
          <cell r="B721" t="str">
            <v>Wholesale</v>
          </cell>
          <cell r="C721">
            <v>5</v>
          </cell>
          <cell r="F721" t="str">
            <v>5199</v>
          </cell>
          <cell r="G721" t="str">
            <v>Wholesale</v>
          </cell>
          <cell r="H721">
            <v>5</v>
          </cell>
        </row>
        <row r="722">
          <cell r="A722" t="str">
            <v>5211</v>
          </cell>
          <cell r="B722" t="str">
            <v>Retail</v>
          </cell>
          <cell r="C722">
            <v>9</v>
          </cell>
          <cell r="F722" t="str">
            <v>5211</v>
          </cell>
          <cell r="G722" t="str">
            <v>Retail</v>
          </cell>
          <cell r="H722">
            <v>9</v>
          </cell>
        </row>
        <row r="723">
          <cell r="A723" t="str">
            <v>5231</v>
          </cell>
          <cell r="B723" t="str">
            <v>Retail</v>
          </cell>
          <cell r="C723">
            <v>7</v>
          </cell>
          <cell r="F723" t="str">
            <v>5231</v>
          </cell>
          <cell r="G723" t="str">
            <v>Retail</v>
          </cell>
          <cell r="H723">
            <v>4</v>
          </cell>
        </row>
        <row r="724">
          <cell r="A724" t="str">
            <v>5251</v>
          </cell>
          <cell r="B724" t="str">
            <v>Retail</v>
          </cell>
          <cell r="C724">
            <v>5</v>
          </cell>
          <cell r="F724" t="str">
            <v>5251</v>
          </cell>
          <cell r="G724" t="str">
            <v>Retail</v>
          </cell>
          <cell r="H724">
            <v>5</v>
          </cell>
        </row>
        <row r="725">
          <cell r="A725" t="str">
            <v>5261</v>
          </cell>
          <cell r="B725" t="str">
            <v>Retail</v>
          </cell>
          <cell r="C725">
            <v>7</v>
          </cell>
          <cell r="F725" t="str">
            <v>5261</v>
          </cell>
          <cell r="G725" t="str">
            <v>Retail</v>
          </cell>
          <cell r="H725">
            <v>5</v>
          </cell>
        </row>
        <row r="726">
          <cell r="A726" t="str">
            <v>5262</v>
          </cell>
          <cell r="B726" t="str">
            <v>Retail</v>
          </cell>
          <cell r="C726">
            <v>10</v>
          </cell>
          <cell r="F726" t="str">
            <v>5262</v>
          </cell>
          <cell r="G726" t="str">
            <v>Retail</v>
          </cell>
          <cell r="H726">
            <v>9</v>
          </cell>
        </row>
        <row r="727">
          <cell r="A727" t="str">
            <v>5263</v>
          </cell>
          <cell r="B727" t="str">
            <v>Retail</v>
          </cell>
          <cell r="C727">
            <v>9</v>
          </cell>
          <cell r="F727" t="str">
            <v>5263</v>
          </cell>
          <cell r="G727" t="str">
            <v>Retail</v>
          </cell>
          <cell r="H727">
            <v>10</v>
          </cell>
        </row>
        <row r="728">
          <cell r="A728" t="str">
            <v>5271</v>
          </cell>
          <cell r="B728" t="str">
            <v>Retail</v>
          </cell>
          <cell r="C728" t="str">
            <v>NA</v>
          </cell>
          <cell r="F728" t="str">
            <v>5271</v>
          </cell>
          <cell r="G728" t="str">
            <v>Retail</v>
          </cell>
          <cell r="H728" t="str">
            <v>NA</v>
          </cell>
        </row>
        <row r="729">
          <cell r="A729" t="str">
            <v>5311</v>
          </cell>
          <cell r="B729" t="str">
            <v>Retail</v>
          </cell>
          <cell r="C729">
            <v>5</v>
          </cell>
          <cell r="F729" t="str">
            <v>5311</v>
          </cell>
          <cell r="G729" t="str">
            <v>Retail</v>
          </cell>
          <cell r="H729">
            <v>5</v>
          </cell>
        </row>
        <row r="730">
          <cell r="A730" t="str">
            <v>5331</v>
          </cell>
          <cell r="B730" t="str">
            <v>Retail</v>
          </cell>
          <cell r="C730">
            <v>4</v>
          </cell>
          <cell r="F730" t="str">
            <v>5331</v>
          </cell>
          <cell r="G730" t="str">
            <v>Retail</v>
          </cell>
          <cell r="H730">
            <v>4</v>
          </cell>
        </row>
        <row r="731">
          <cell r="A731" t="str">
            <v>5399</v>
          </cell>
          <cell r="B731" t="str">
            <v>Retail</v>
          </cell>
          <cell r="C731">
            <v>5</v>
          </cell>
          <cell r="F731" t="str">
            <v>5399</v>
          </cell>
          <cell r="G731" t="str">
            <v>Retail</v>
          </cell>
          <cell r="H731">
            <v>5</v>
          </cell>
        </row>
        <row r="732">
          <cell r="A732" t="str">
            <v>5411</v>
          </cell>
          <cell r="B732" t="str">
            <v>Retail</v>
          </cell>
          <cell r="C732">
            <v>7</v>
          </cell>
          <cell r="F732" t="str">
            <v>5411</v>
          </cell>
          <cell r="G732" t="str">
            <v>Retail</v>
          </cell>
          <cell r="H732">
            <v>7</v>
          </cell>
        </row>
        <row r="733">
          <cell r="A733" t="str">
            <v>5421</v>
          </cell>
          <cell r="B733" t="str">
            <v>Retail</v>
          </cell>
          <cell r="C733">
            <v>6</v>
          </cell>
          <cell r="F733" t="str">
            <v>5421</v>
          </cell>
          <cell r="G733" t="str">
            <v>Retail</v>
          </cell>
          <cell r="H733">
            <v>7</v>
          </cell>
        </row>
        <row r="734">
          <cell r="A734" t="str">
            <v>5431</v>
          </cell>
          <cell r="B734" t="str">
            <v>Retail</v>
          </cell>
          <cell r="C734">
            <v>6</v>
          </cell>
          <cell r="F734" t="str">
            <v>5431</v>
          </cell>
          <cell r="G734" t="str">
            <v>Retail</v>
          </cell>
          <cell r="H734">
            <v>3</v>
          </cell>
        </row>
        <row r="735">
          <cell r="A735" t="str">
            <v>5441</v>
          </cell>
          <cell r="B735" t="str">
            <v>Retail</v>
          </cell>
          <cell r="C735">
            <v>3</v>
          </cell>
          <cell r="F735" t="str">
            <v>5441</v>
          </cell>
          <cell r="G735" t="str">
            <v>Retail</v>
          </cell>
          <cell r="H735">
            <v>3</v>
          </cell>
        </row>
        <row r="736">
          <cell r="A736" t="str">
            <v>5451</v>
          </cell>
          <cell r="B736" t="str">
            <v>Retail</v>
          </cell>
          <cell r="C736">
            <v>6</v>
          </cell>
          <cell r="F736" t="str">
            <v>5451</v>
          </cell>
          <cell r="G736" t="str">
            <v>Retail</v>
          </cell>
          <cell r="H736">
            <v>7</v>
          </cell>
        </row>
        <row r="737">
          <cell r="A737" t="str">
            <v>5461</v>
          </cell>
          <cell r="B737" t="str">
            <v>Retail</v>
          </cell>
          <cell r="C737">
            <v>5</v>
          </cell>
          <cell r="F737" t="str">
            <v>5461</v>
          </cell>
          <cell r="G737" t="str">
            <v>Retail</v>
          </cell>
          <cell r="H737">
            <v>4</v>
          </cell>
        </row>
        <row r="738">
          <cell r="A738" t="str">
            <v>5499</v>
          </cell>
          <cell r="B738" t="str">
            <v>Retail</v>
          </cell>
          <cell r="C738">
            <v>6</v>
          </cell>
          <cell r="F738" t="str">
            <v>5499</v>
          </cell>
          <cell r="G738" t="str">
            <v>Retail</v>
          </cell>
          <cell r="H738">
            <v>6</v>
          </cell>
        </row>
        <row r="739">
          <cell r="A739" t="str">
            <v>5511</v>
          </cell>
          <cell r="B739" t="str">
            <v>Retail</v>
          </cell>
          <cell r="C739" t="str">
            <v>NA</v>
          </cell>
          <cell r="F739" t="str">
            <v>5511</v>
          </cell>
          <cell r="G739" t="str">
            <v>Retail</v>
          </cell>
          <cell r="H739" t="str">
            <v>NA</v>
          </cell>
        </row>
        <row r="740">
          <cell r="A740" t="str">
            <v>5521</v>
          </cell>
          <cell r="B740" t="str">
            <v>Retail</v>
          </cell>
          <cell r="C740" t="str">
            <v>NA</v>
          </cell>
          <cell r="F740" t="str">
            <v>5521</v>
          </cell>
          <cell r="G740" t="str">
            <v>Retail</v>
          </cell>
          <cell r="H740" t="str">
            <v>NA</v>
          </cell>
        </row>
        <row r="741">
          <cell r="A741" t="str">
            <v>5531</v>
          </cell>
          <cell r="B741" t="str">
            <v>Retail</v>
          </cell>
          <cell r="C741">
            <v>6</v>
          </cell>
          <cell r="F741" t="str">
            <v>5531</v>
          </cell>
          <cell r="G741" t="str">
            <v>Retail</v>
          </cell>
          <cell r="H741">
            <v>5</v>
          </cell>
        </row>
        <row r="742">
          <cell r="A742" t="str">
            <v>5541</v>
          </cell>
          <cell r="B742" t="str">
            <v>Retail</v>
          </cell>
          <cell r="C742">
            <v>8</v>
          </cell>
          <cell r="F742" t="str">
            <v>5541</v>
          </cell>
          <cell r="G742" t="str">
            <v>Retail</v>
          </cell>
          <cell r="H742">
            <v>9</v>
          </cell>
        </row>
        <row r="743">
          <cell r="A743" t="str">
            <v>5551</v>
          </cell>
          <cell r="B743" t="str">
            <v>Retail</v>
          </cell>
          <cell r="C743" t="str">
            <v>NA</v>
          </cell>
          <cell r="F743" t="str">
            <v>5551</v>
          </cell>
          <cell r="G743" t="str">
            <v>Retail</v>
          </cell>
          <cell r="H743" t="str">
            <v>NA</v>
          </cell>
        </row>
        <row r="744">
          <cell r="A744" t="str">
            <v>5561</v>
          </cell>
          <cell r="B744" t="str">
            <v>Retail</v>
          </cell>
          <cell r="C744" t="str">
            <v>NA</v>
          </cell>
          <cell r="F744" t="str">
            <v>5561</v>
          </cell>
          <cell r="G744" t="str">
            <v>Retail</v>
          </cell>
          <cell r="H744" t="str">
            <v>NA</v>
          </cell>
        </row>
        <row r="745">
          <cell r="A745" t="str">
            <v>5571</v>
          </cell>
          <cell r="B745" t="str">
            <v>Retail</v>
          </cell>
          <cell r="C745" t="str">
            <v>NA</v>
          </cell>
          <cell r="F745" t="str">
            <v>5571</v>
          </cell>
          <cell r="G745" t="str">
            <v>Retail</v>
          </cell>
          <cell r="H745" t="str">
            <v>NA</v>
          </cell>
        </row>
        <row r="746">
          <cell r="A746" t="str">
            <v>5599</v>
          </cell>
          <cell r="B746" t="str">
            <v>Retail</v>
          </cell>
          <cell r="C746" t="str">
            <v>NA</v>
          </cell>
          <cell r="F746" t="str">
            <v>5599</v>
          </cell>
          <cell r="G746" t="str">
            <v>Retail</v>
          </cell>
          <cell r="H746" t="str">
            <v>NA</v>
          </cell>
        </row>
        <row r="747">
          <cell r="A747" t="str">
            <v>5611</v>
          </cell>
          <cell r="B747" t="str">
            <v>Retail</v>
          </cell>
          <cell r="C747">
            <v>5</v>
          </cell>
          <cell r="F747" t="str">
            <v>5611</v>
          </cell>
          <cell r="G747" t="str">
            <v>Retail</v>
          </cell>
          <cell r="H747">
            <v>3</v>
          </cell>
        </row>
        <row r="748">
          <cell r="A748" t="str">
            <v>5621</v>
          </cell>
          <cell r="B748" t="str">
            <v>Retail</v>
          </cell>
          <cell r="C748">
            <v>5</v>
          </cell>
          <cell r="F748" t="str">
            <v>5621</v>
          </cell>
          <cell r="G748" t="str">
            <v>Retail</v>
          </cell>
          <cell r="H748">
            <v>3</v>
          </cell>
        </row>
        <row r="749">
          <cell r="A749" t="str">
            <v>5632</v>
          </cell>
          <cell r="B749" t="str">
            <v>Retail</v>
          </cell>
          <cell r="C749">
            <v>4</v>
          </cell>
          <cell r="F749" t="str">
            <v>5632</v>
          </cell>
          <cell r="G749" t="str">
            <v>Retail</v>
          </cell>
          <cell r="H749">
            <v>3</v>
          </cell>
        </row>
        <row r="750">
          <cell r="A750" t="str">
            <v>5641</v>
          </cell>
          <cell r="B750" t="str">
            <v>Retail</v>
          </cell>
          <cell r="C750">
            <v>4</v>
          </cell>
          <cell r="F750" t="str">
            <v>5641</v>
          </cell>
          <cell r="G750" t="str">
            <v>Retail</v>
          </cell>
          <cell r="H750">
            <v>6</v>
          </cell>
        </row>
        <row r="751">
          <cell r="A751" t="str">
            <v>5651</v>
          </cell>
          <cell r="B751" t="str">
            <v>Retail</v>
          </cell>
          <cell r="C751">
            <v>4</v>
          </cell>
          <cell r="F751" t="str">
            <v>5651</v>
          </cell>
          <cell r="G751" t="str">
            <v>Retail</v>
          </cell>
          <cell r="H751">
            <v>4</v>
          </cell>
        </row>
        <row r="752">
          <cell r="A752" t="str">
            <v>5661</v>
          </cell>
          <cell r="B752" t="str">
            <v>Retail</v>
          </cell>
          <cell r="C752">
            <v>3</v>
          </cell>
          <cell r="F752" t="str">
            <v>5661</v>
          </cell>
          <cell r="G752" t="str">
            <v>Retail</v>
          </cell>
          <cell r="H752">
            <v>3</v>
          </cell>
        </row>
        <row r="753">
          <cell r="A753" t="str">
            <v>5699</v>
          </cell>
          <cell r="B753" t="str">
            <v>Retail</v>
          </cell>
          <cell r="C753">
            <v>4</v>
          </cell>
          <cell r="F753" t="str">
            <v>5699</v>
          </cell>
          <cell r="G753" t="str">
            <v>Retail</v>
          </cell>
          <cell r="H753">
            <v>3</v>
          </cell>
        </row>
        <row r="754">
          <cell r="A754" t="str">
            <v>5712</v>
          </cell>
          <cell r="B754" t="str">
            <v>Retail</v>
          </cell>
          <cell r="C754">
            <v>7</v>
          </cell>
          <cell r="F754" t="str">
            <v>5712</v>
          </cell>
          <cell r="G754" t="str">
            <v>Retail</v>
          </cell>
          <cell r="H754">
            <v>6</v>
          </cell>
        </row>
        <row r="755">
          <cell r="A755" t="str">
            <v>5713</v>
          </cell>
          <cell r="B755" t="str">
            <v>Retail</v>
          </cell>
          <cell r="C755">
            <v>7</v>
          </cell>
          <cell r="F755" t="str">
            <v>5713</v>
          </cell>
          <cell r="G755" t="str">
            <v>Retail</v>
          </cell>
          <cell r="H755">
            <v>5</v>
          </cell>
        </row>
        <row r="756">
          <cell r="A756" t="str">
            <v>5714</v>
          </cell>
          <cell r="B756" t="str">
            <v>Retail</v>
          </cell>
          <cell r="C756">
            <v>8</v>
          </cell>
          <cell r="F756" t="str">
            <v>5714</v>
          </cell>
          <cell r="G756" t="str">
            <v>Retail</v>
          </cell>
          <cell r="H756">
            <v>4</v>
          </cell>
        </row>
        <row r="757">
          <cell r="A757" t="str">
            <v>5719</v>
          </cell>
          <cell r="B757" t="str">
            <v>Retail</v>
          </cell>
          <cell r="C757">
            <v>7</v>
          </cell>
          <cell r="F757" t="str">
            <v>5719</v>
          </cell>
          <cell r="G757" t="str">
            <v>Retail</v>
          </cell>
          <cell r="H757">
            <v>4</v>
          </cell>
        </row>
        <row r="758">
          <cell r="A758" t="str">
            <v>5722</v>
          </cell>
          <cell r="B758" t="str">
            <v>Retail</v>
          </cell>
          <cell r="C758">
            <v>6</v>
          </cell>
          <cell r="F758" t="str">
            <v>5722</v>
          </cell>
          <cell r="G758" t="str">
            <v>Retail</v>
          </cell>
          <cell r="H758">
            <v>4</v>
          </cell>
        </row>
        <row r="759">
          <cell r="A759" t="str">
            <v>5731</v>
          </cell>
          <cell r="B759" t="str">
            <v>Retail</v>
          </cell>
          <cell r="C759">
            <v>8</v>
          </cell>
          <cell r="F759" t="str">
            <v>5731</v>
          </cell>
          <cell r="G759" t="str">
            <v>Retail</v>
          </cell>
          <cell r="H759">
            <v>3</v>
          </cell>
        </row>
        <row r="760">
          <cell r="A760" t="str">
            <v>5734</v>
          </cell>
          <cell r="B760" t="str">
            <v>Retail</v>
          </cell>
          <cell r="C760">
            <v>7</v>
          </cell>
          <cell r="F760" t="str">
            <v>5734</v>
          </cell>
          <cell r="G760" t="str">
            <v>Retail</v>
          </cell>
          <cell r="H760">
            <v>5</v>
          </cell>
        </row>
        <row r="761">
          <cell r="A761" t="str">
            <v>5735</v>
          </cell>
          <cell r="B761" t="str">
            <v>Retail</v>
          </cell>
          <cell r="C761">
            <v>7</v>
          </cell>
          <cell r="F761" t="str">
            <v>5735</v>
          </cell>
          <cell r="G761" t="str">
            <v>Retail</v>
          </cell>
          <cell r="H761">
            <v>3</v>
          </cell>
        </row>
        <row r="762">
          <cell r="A762" t="str">
            <v>5736</v>
          </cell>
          <cell r="B762" t="str">
            <v>Retail</v>
          </cell>
          <cell r="C762">
            <v>7</v>
          </cell>
          <cell r="F762" t="str">
            <v>5736</v>
          </cell>
          <cell r="G762" t="str">
            <v>Retail</v>
          </cell>
          <cell r="H762">
            <v>3</v>
          </cell>
        </row>
        <row r="763">
          <cell r="A763" t="str">
            <v>5812</v>
          </cell>
          <cell r="B763" t="str">
            <v>Retail</v>
          </cell>
          <cell r="C763" t="str">
            <v>NA</v>
          </cell>
          <cell r="F763" t="str">
            <v>5812</v>
          </cell>
          <cell r="G763" t="str">
            <v>Retail</v>
          </cell>
          <cell r="H763" t="str">
            <v>NA</v>
          </cell>
        </row>
        <row r="764">
          <cell r="A764" t="str">
            <v>5813</v>
          </cell>
          <cell r="B764" t="str">
            <v>Retail</v>
          </cell>
          <cell r="C764" t="str">
            <v>NA</v>
          </cell>
          <cell r="F764" t="str">
            <v>5813</v>
          </cell>
          <cell r="G764" t="str">
            <v>Retail</v>
          </cell>
          <cell r="H764" t="str">
            <v>NA</v>
          </cell>
        </row>
        <row r="765">
          <cell r="A765" t="str">
            <v>5912</v>
          </cell>
          <cell r="B765" t="str">
            <v>Retail</v>
          </cell>
          <cell r="C765">
            <v>5</v>
          </cell>
          <cell r="F765" t="str">
            <v>5912</v>
          </cell>
          <cell r="G765" t="str">
            <v>Retail</v>
          </cell>
          <cell r="H765">
            <v>5</v>
          </cell>
        </row>
        <row r="766">
          <cell r="A766" t="str">
            <v xml:space="preserve">5921 </v>
          </cell>
          <cell r="B766" t="str">
            <v>Retail</v>
          </cell>
          <cell r="C766">
            <v>5</v>
          </cell>
          <cell r="F766" t="str">
            <v xml:space="preserve">5921 </v>
          </cell>
          <cell r="G766" t="str">
            <v>Retail</v>
          </cell>
          <cell r="H766">
            <v>5</v>
          </cell>
        </row>
        <row r="767">
          <cell r="A767" t="str">
            <v xml:space="preserve">5932 </v>
          </cell>
          <cell r="B767" t="str">
            <v>Retail</v>
          </cell>
          <cell r="C767">
            <v>8</v>
          </cell>
          <cell r="F767" t="str">
            <v xml:space="preserve">5932 </v>
          </cell>
          <cell r="G767" t="str">
            <v>Retail</v>
          </cell>
          <cell r="H767">
            <v>9</v>
          </cell>
        </row>
        <row r="768">
          <cell r="A768" t="str">
            <v>5941</v>
          </cell>
          <cell r="B768" t="str">
            <v>Retail</v>
          </cell>
          <cell r="C768">
            <v>7</v>
          </cell>
          <cell r="F768" t="str">
            <v>5941</v>
          </cell>
          <cell r="G768" t="str">
            <v>Retail</v>
          </cell>
          <cell r="H768">
            <v>9</v>
          </cell>
        </row>
        <row r="769">
          <cell r="A769" t="str">
            <v>5942</v>
          </cell>
          <cell r="B769" t="str">
            <v>Retail</v>
          </cell>
          <cell r="C769">
            <v>5</v>
          </cell>
          <cell r="F769" t="str">
            <v>5942</v>
          </cell>
          <cell r="G769" t="str">
            <v>Retail</v>
          </cell>
          <cell r="H769">
            <v>3</v>
          </cell>
        </row>
        <row r="770">
          <cell r="A770" t="str">
            <v>5943</v>
          </cell>
          <cell r="B770" t="str">
            <v>Retail</v>
          </cell>
          <cell r="C770">
            <v>5</v>
          </cell>
          <cell r="F770" t="str">
            <v>5943</v>
          </cell>
          <cell r="G770" t="str">
            <v>Retail</v>
          </cell>
          <cell r="H770">
            <v>3</v>
          </cell>
        </row>
        <row r="771">
          <cell r="A771" t="str">
            <v>5944</v>
          </cell>
          <cell r="B771" t="str">
            <v>Retail</v>
          </cell>
          <cell r="C771">
            <v>6</v>
          </cell>
          <cell r="F771" t="str">
            <v>5944</v>
          </cell>
          <cell r="G771" t="str">
            <v>Retail</v>
          </cell>
          <cell r="H771">
            <v>3</v>
          </cell>
        </row>
        <row r="772">
          <cell r="A772" t="str">
            <v>5945</v>
          </cell>
          <cell r="B772" t="str">
            <v>Retail</v>
          </cell>
          <cell r="C772">
            <v>5</v>
          </cell>
          <cell r="F772" t="str">
            <v>5945</v>
          </cell>
          <cell r="G772" t="str">
            <v>Retail</v>
          </cell>
          <cell r="H772">
            <v>5</v>
          </cell>
        </row>
        <row r="773">
          <cell r="A773" t="str">
            <v>5946</v>
          </cell>
          <cell r="B773" t="str">
            <v>Retail</v>
          </cell>
          <cell r="C773">
            <v>5</v>
          </cell>
          <cell r="F773" t="str">
            <v>5946</v>
          </cell>
          <cell r="G773" t="str">
            <v>Retail</v>
          </cell>
          <cell r="H773">
            <v>3</v>
          </cell>
        </row>
        <row r="774">
          <cell r="A774" t="str">
            <v>5947</v>
          </cell>
          <cell r="B774" t="str">
            <v>Retail</v>
          </cell>
          <cell r="C774">
            <v>4</v>
          </cell>
          <cell r="F774" t="str">
            <v>5947</v>
          </cell>
          <cell r="G774" t="str">
            <v>Retail</v>
          </cell>
          <cell r="H774">
            <v>3</v>
          </cell>
        </row>
        <row r="775">
          <cell r="A775" t="str">
            <v>5948</v>
          </cell>
          <cell r="B775" t="str">
            <v>Retail</v>
          </cell>
          <cell r="C775">
            <v>4</v>
          </cell>
          <cell r="F775" t="str">
            <v>5948</v>
          </cell>
          <cell r="G775" t="str">
            <v>Retail</v>
          </cell>
          <cell r="H775">
            <v>2</v>
          </cell>
        </row>
        <row r="776">
          <cell r="A776" t="str">
            <v>5949</v>
          </cell>
          <cell r="B776" t="str">
            <v>Retail</v>
          </cell>
          <cell r="C776">
            <v>5</v>
          </cell>
          <cell r="F776" t="str">
            <v>5949</v>
          </cell>
          <cell r="G776" t="str">
            <v>Retail</v>
          </cell>
          <cell r="H776">
            <v>3</v>
          </cell>
        </row>
        <row r="777">
          <cell r="A777" t="str">
            <v>5961</v>
          </cell>
          <cell r="B777" t="str">
            <v>Retail</v>
          </cell>
          <cell r="C777">
            <v>5</v>
          </cell>
          <cell r="F777" t="str">
            <v>5961</v>
          </cell>
          <cell r="G777" t="str">
            <v>Retail</v>
          </cell>
          <cell r="H777">
            <v>3</v>
          </cell>
        </row>
        <row r="778">
          <cell r="A778" t="str">
            <v>5962</v>
          </cell>
          <cell r="B778" t="str">
            <v>Retail</v>
          </cell>
          <cell r="C778">
            <v>5</v>
          </cell>
          <cell r="F778" t="str">
            <v>5962</v>
          </cell>
          <cell r="G778" t="str">
            <v>Retail</v>
          </cell>
          <cell r="H778">
            <v>4</v>
          </cell>
        </row>
        <row r="779">
          <cell r="A779" t="str">
            <v>5963</v>
          </cell>
          <cell r="B779" t="str">
            <v>Retail</v>
          </cell>
          <cell r="C779">
            <v>3</v>
          </cell>
          <cell r="F779" t="str">
            <v>5963</v>
          </cell>
          <cell r="G779" t="str">
            <v>Retail</v>
          </cell>
          <cell r="H779">
            <v>4</v>
          </cell>
        </row>
        <row r="780">
          <cell r="A780" t="str">
            <v>5983</v>
          </cell>
          <cell r="B780" t="str">
            <v>Retail</v>
          </cell>
          <cell r="C780" t="str">
            <v>NA</v>
          </cell>
          <cell r="F780" t="str">
            <v>5983</v>
          </cell>
          <cell r="G780" t="str">
            <v>Retail</v>
          </cell>
          <cell r="H780" t="str">
            <v>NA</v>
          </cell>
        </row>
        <row r="781">
          <cell r="A781" t="str">
            <v>5984</v>
          </cell>
          <cell r="B781" t="str">
            <v>Retail</v>
          </cell>
          <cell r="C781" t="str">
            <v>NA</v>
          </cell>
          <cell r="F781" t="str">
            <v>5984</v>
          </cell>
          <cell r="G781" t="str">
            <v>Retail</v>
          </cell>
          <cell r="H781" t="str">
            <v>NA</v>
          </cell>
        </row>
        <row r="782">
          <cell r="A782" t="str">
            <v>5989</v>
          </cell>
          <cell r="B782" t="str">
            <v>Retail</v>
          </cell>
          <cell r="C782" t="str">
            <v>NA</v>
          </cell>
          <cell r="F782" t="str">
            <v>5989</v>
          </cell>
          <cell r="G782" t="str">
            <v>Retail</v>
          </cell>
          <cell r="H782" t="str">
            <v>NA</v>
          </cell>
        </row>
        <row r="783">
          <cell r="A783" t="str">
            <v>5992</v>
          </cell>
          <cell r="B783" t="str">
            <v>Retail</v>
          </cell>
          <cell r="C783">
            <v>3</v>
          </cell>
          <cell r="F783" t="str">
            <v>5992</v>
          </cell>
          <cell r="G783" t="str">
            <v>Retail</v>
          </cell>
          <cell r="H783">
            <v>3</v>
          </cell>
        </row>
        <row r="784">
          <cell r="A784" t="str">
            <v>5993</v>
          </cell>
          <cell r="B784" t="str">
            <v>Retail</v>
          </cell>
          <cell r="C784" t="str">
            <v>NA</v>
          </cell>
          <cell r="F784" t="str">
            <v>5993</v>
          </cell>
          <cell r="G784" t="str">
            <v>Retail</v>
          </cell>
          <cell r="H784" t="str">
            <v>NA</v>
          </cell>
        </row>
        <row r="785">
          <cell r="A785" t="str">
            <v>5994</v>
          </cell>
          <cell r="B785" t="str">
            <v>Retail</v>
          </cell>
          <cell r="C785">
            <v>8</v>
          </cell>
          <cell r="F785" t="str">
            <v>5994</v>
          </cell>
          <cell r="G785" t="str">
            <v>Retail</v>
          </cell>
          <cell r="H785">
            <v>5</v>
          </cell>
        </row>
        <row r="786">
          <cell r="A786" t="str">
            <v>5995</v>
          </cell>
          <cell r="B786" t="str">
            <v>Retail</v>
          </cell>
          <cell r="C786">
            <v>3</v>
          </cell>
          <cell r="F786" t="str">
            <v>5995</v>
          </cell>
          <cell r="G786" t="str">
            <v>Retail</v>
          </cell>
          <cell r="H786">
            <v>3</v>
          </cell>
        </row>
        <row r="787">
          <cell r="A787" t="str">
            <v>5999</v>
          </cell>
          <cell r="B787" t="str">
            <v>Retail</v>
          </cell>
          <cell r="C787">
            <v>5</v>
          </cell>
          <cell r="F787" t="str">
            <v>5999</v>
          </cell>
          <cell r="G787" t="str">
            <v>Retail</v>
          </cell>
          <cell r="H787">
            <v>5</v>
          </cell>
        </row>
        <row r="788">
          <cell r="A788" t="str">
            <v>6011</v>
          </cell>
          <cell r="B788" t="str">
            <v>Office</v>
          </cell>
          <cell r="C788" t="str">
            <v>NA</v>
          </cell>
          <cell r="F788" t="str">
            <v>6011</v>
          </cell>
          <cell r="G788" t="str">
            <v>Office</v>
          </cell>
          <cell r="H788" t="str">
            <v>NA</v>
          </cell>
        </row>
        <row r="789">
          <cell r="A789" t="str">
            <v>6019</v>
          </cell>
          <cell r="B789" t="str">
            <v>Office</v>
          </cell>
          <cell r="C789" t="str">
            <v>NA</v>
          </cell>
          <cell r="F789" t="str">
            <v>6019</v>
          </cell>
          <cell r="G789" t="str">
            <v>Office</v>
          </cell>
          <cell r="H789" t="str">
            <v>NA</v>
          </cell>
        </row>
        <row r="790">
          <cell r="A790" t="str">
            <v>6021</v>
          </cell>
          <cell r="B790" t="str">
            <v>Office</v>
          </cell>
          <cell r="C790" t="str">
            <v>NA</v>
          </cell>
          <cell r="F790" t="str">
            <v>6021</v>
          </cell>
          <cell r="G790" t="str">
            <v>Office</v>
          </cell>
          <cell r="H790" t="str">
            <v>NA</v>
          </cell>
        </row>
        <row r="791">
          <cell r="A791" t="str">
            <v>6022</v>
          </cell>
          <cell r="B791" t="str">
            <v>Office</v>
          </cell>
          <cell r="C791" t="str">
            <v>NA</v>
          </cell>
          <cell r="F791" t="str">
            <v>6022</v>
          </cell>
          <cell r="G791" t="str">
            <v>Office</v>
          </cell>
          <cell r="H791" t="str">
            <v>NA</v>
          </cell>
        </row>
        <row r="792">
          <cell r="A792" t="str">
            <v>6029</v>
          </cell>
          <cell r="B792" t="str">
            <v>Office</v>
          </cell>
          <cell r="C792" t="str">
            <v>NA</v>
          </cell>
          <cell r="F792" t="str">
            <v>6029</v>
          </cell>
          <cell r="G792" t="str">
            <v>Office</v>
          </cell>
          <cell r="H792" t="str">
            <v>NA</v>
          </cell>
        </row>
        <row r="793">
          <cell r="A793" t="str">
            <v>6035</v>
          </cell>
          <cell r="B793" t="str">
            <v>Office</v>
          </cell>
          <cell r="C793" t="str">
            <v>NA</v>
          </cell>
          <cell r="F793" t="str">
            <v>6035</v>
          </cell>
          <cell r="G793" t="str">
            <v>Office</v>
          </cell>
          <cell r="H793" t="str">
            <v>NA</v>
          </cell>
        </row>
        <row r="794">
          <cell r="A794" t="str">
            <v>6036</v>
          </cell>
          <cell r="B794" t="str">
            <v>Office</v>
          </cell>
          <cell r="C794" t="str">
            <v>NA</v>
          </cell>
          <cell r="F794" t="str">
            <v>6036</v>
          </cell>
          <cell r="G794" t="str">
            <v>Office</v>
          </cell>
          <cell r="H794" t="str">
            <v>NA</v>
          </cell>
        </row>
        <row r="795">
          <cell r="A795" t="str">
            <v>6061</v>
          </cell>
          <cell r="B795" t="str">
            <v>Office</v>
          </cell>
          <cell r="C795" t="str">
            <v>NA</v>
          </cell>
          <cell r="F795" t="str">
            <v>6061</v>
          </cell>
          <cell r="G795" t="str">
            <v>Office</v>
          </cell>
          <cell r="H795" t="str">
            <v>NA</v>
          </cell>
        </row>
        <row r="796">
          <cell r="A796" t="str">
            <v>6062</v>
          </cell>
          <cell r="B796" t="str">
            <v>Office</v>
          </cell>
          <cell r="C796" t="str">
            <v>NA</v>
          </cell>
          <cell r="F796" t="str">
            <v>6062</v>
          </cell>
          <cell r="G796" t="str">
            <v>Office</v>
          </cell>
          <cell r="H796" t="str">
            <v>NA</v>
          </cell>
        </row>
        <row r="797">
          <cell r="A797" t="str">
            <v>6081</v>
          </cell>
          <cell r="B797" t="str">
            <v>Office</v>
          </cell>
          <cell r="C797" t="str">
            <v>NA</v>
          </cell>
          <cell r="F797" t="str">
            <v>6081</v>
          </cell>
          <cell r="G797" t="str">
            <v>Office</v>
          </cell>
          <cell r="H797" t="str">
            <v>NA</v>
          </cell>
        </row>
        <row r="798">
          <cell r="A798" t="str">
            <v>6082</v>
          </cell>
          <cell r="B798" t="str">
            <v>Office</v>
          </cell>
          <cell r="C798" t="str">
            <v>NA</v>
          </cell>
          <cell r="F798" t="str">
            <v>6082</v>
          </cell>
          <cell r="G798" t="str">
            <v>Office</v>
          </cell>
          <cell r="H798" t="str">
            <v>NA</v>
          </cell>
        </row>
        <row r="799">
          <cell r="A799" t="str">
            <v>6091</v>
          </cell>
          <cell r="B799" t="str">
            <v>Office</v>
          </cell>
          <cell r="C799" t="str">
            <v>NA</v>
          </cell>
          <cell r="F799" t="str">
            <v>6091</v>
          </cell>
          <cell r="G799" t="str">
            <v>Office</v>
          </cell>
          <cell r="H799" t="str">
            <v>NA</v>
          </cell>
        </row>
        <row r="800">
          <cell r="A800" t="str">
            <v>6099</v>
          </cell>
          <cell r="B800" t="str">
            <v>Office</v>
          </cell>
          <cell r="C800" t="str">
            <v>NA</v>
          </cell>
          <cell r="F800" t="str">
            <v>6099</v>
          </cell>
          <cell r="G800" t="str">
            <v>Office</v>
          </cell>
          <cell r="H800" t="str">
            <v>NA</v>
          </cell>
        </row>
        <row r="801">
          <cell r="A801" t="str">
            <v>6111</v>
          </cell>
          <cell r="B801" t="str">
            <v>Office</v>
          </cell>
          <cell r="C801" t="str">
            <v>NA</v>
          </cell>
          <cell r="F801" t="str">
            <v>6111</v>
          </cell>
          <cell r="G801" t="str">
            <v>Office</v>
          </cell>
          <cell r="H801" t="str">
            <v>NA</v>
          </cell>
        </row>
        <row r="802">
          <cell r="A802" t="str">
            <v>6141</v>
          </cell>
          <cell r="B802" t="str">
            <v>Office</v>
          </cell>
          <cell r="C802" t="str">
            <v>NA</v>
          </cell>
          <cell r="F802" t="str">
            <v>6141</v>
          </cell>
          <cell r="G802" t="str">
            <v>Office</v>
          </cell>
          <cell r="H802" t="str">
            <v>NA</v>
          </cell>
        </row>
        <row r="803">
          <cell r="A803" t="str">
            <v>6153</v>
          </cell>
          <cell r="B803" t="str">
            <v>Office</v>
          </cell>
          <cell r="C803" t="str">
            <v>NA</v>
          </cell>
          <cell r="F803" t="str">
            <v>6153</v>
          </cell>
          <cell r="G803" t="str">
            <v>Office</v>
          </cell>
          <cell r="H803" t="str">
            <v>NA</v>
          </cell>
        </row>
        <row r="804">
          <cell r="A804" t="str">
            <v>6159</v>
          </cell>
          <cell r="B804" t="str">
            <v>Office</v>
          </cell>
          <cell r="C804" t="str">
            <v>NA</v>
          </cell>
          <cell r="F804" t="str">
            <v>6159</v>
          </cell>
          <cell r="G804" t="str">
            <v>Office</v>
          </cell>
          <cell r="H804" t="str">
            <v>NA</v>
          </cell>
        </row>
        <row r="805">
          <cell r="A805" t="str">
            <v>6162</v>
          </cell>
          <cell r="B805" t="str">
            <v>Office</v>
          </cell>
          <cell r="C805" t="str">
            <v>NA</v>
          </cell>
          <cell r="F805" t="str">
            <v>6162</v>
          </cell>
          <cell r="G805" t="str">
            <v>Office</v>
          </cell>
          <cell r="H805" t="str">
            <v>NA</v>
          </cell>
        </row>
        <row r="806">
          <cell r="A806" t="str">
            <v>6163</v>
          </cell>
          <cell r="B806" t="str">
            <v>Office</v>
          </cell>
          <cell r="C806">
            <v>5</v>
          </cell>
          <cell r="F806" t="str">
            <v>6163</v>
          </cell>
          <cell r="G806" t="str">
            <v>Office</v>
          </cell>
          <cell r="H806">
            <v>8</v>
          </cell>
        </row>
        <row r="807">
          <cell r="A807" t="str">
            <v>6211</v>
          </cell>
          <cell r="B807" t="str">
            <v>Office</v>
          </cell>
          <cell r="C807">
            <v>8</v>
          </cell>
          <cell r="F807" t="str">
            <v>6211</v>
          </cell>
          <cell r="G807" t="str">
            <v>Office</v>
          </cell>
          <cell r="H807">
            <v>9</v>
          </cell>
        </row>
        <row r="808">
          <cell r="A808" t="str">
            <v>6221</v>
          </cell>
          <cell r="B808" t="str">
            <v>Office</v>
          </cell>
          <cell r="C808">
            <v>8</v>
          </cell>
          <cell r="F808" t="str">
            <v>6221</v>
          </cell>
          <cell r="G808" t="str">
            <v>Office</v>
          </cell>
          <cell r="H808">
            <v>9</v>
          </cell>
        </row>
        <row r="809">
          <cell r="A809" t="str">
            <v>6231</v>
          </cell>
          <cell r="B809" t="str">
            <v>Office</v>
          </cell>
          <cell r="C809" t="str">
            <v>NA</v>
          </cell>
          <cell r="F809" t="str">
            <v>6231</v>
          </cell>
          <cell r="G809" t="str">
            <v>Office</v>
          </cell>
          <cell r="H809" t="str">
            <v>NA</v>
          </cell>
        </row>
        <row r="810">
          <cell r="A810" t="str">
            <v>6282</v>
          </cell>
          <cell r="B810" t="str">
            <v>Office</v>
          </cell>
          <cell r="C810">
            <v>3</v>
          </cell>
          <cell r="F810" t="str">
            <v>6282</v>
          </cell>
          <cell r="G810" t="str">
            <v>Office</v>
          </cell>
          <cell r="H810">
            <v>4</v>
          </cell>
        </row>
        <row r="811">
          <cell r="A811" t="str">
            <v>6289</v>
          </cell>
          <cell r="B811" t="str">
            <v>Office</v>
          </cell>
          <cell r="C811">
            <v>5</v>
          </cell>
          <cell r="F811" t="str">
            <v>6289</v>
          </cell>
          <cell r="G811" t="str">
            <v>Office</v>
          </cell>
          <cell r="H811">
            <v>5</v>
          </cell>
        </row>
        <row r="812">
          <cell r="A812" t="str">
            <v>6311</v>
          </cell>
          <cell r="B812" t="str">
            <v>Office</v>
          </cell>
          <cell r="C812" t="str">
            <v>NA</v>
          </cell>
          <cell r="F812" t="str">
            <v>6311</v>
          </cell>
          <cell r="G812" t="str">
            <v>Office</v>
          </cell>
          <cell r="H812" t="str">
            <v>NA</v>
          </cell>
        </row>
        <row r="813">
          <cell r="A813" t="str">
            <v>6321</v>
          </cell>
          <cell r="B813" t="str">
            <v>Office</v>
          </cell>
          <cell r="C813" t="str">
            <v>NA</v>
          </cell>
          <cell r="F813" t="str">
            <v>6321</v>
          </cell>
          <cell r="G813" t="str">
            <v>Office</v>
          </cell>
          <cell r="H813" t="str">
            <v>NA</v>
          </cell>
        </row>
        <row r="814">
          <cell r="A814" t="str">
            <v>6324</v>
          </cell>
          <cell r="B814" t="str">
            <v>Office</v>
          </cell>
          <cell r="C814" t="str">
            <v>NA</v>
          </cell>
          <cell r="F814" t="str">
            <v>6324</v>
          </cell>
          <cell r="G814" t="str">
            <v>Office</v>
          </cell>
          <cell r="H814" t="str">
            <v>NA</v>
          </cell>
        </row>
        <row r="815">
          <cell r="A815" t="str">
            <v>6331</v>
          </cell>
          <cell r="B815" t="str">
            <v>Office</v>
          </cell>
          <cell r="C815" t="str">
            <v>NA</v>
          </cell>
          <cell r="F815" t="str">
            <v>6331</v>
          </cell>
          <cell r="G815" t="str">
            <v>Office</v>
          </cell>
          <cell r="H815" t="str">
            <v>NA</v>
          </cell>
        </row>
        <row r="816">
          <cell r="A816" t="str">
            <v>6351</v>
          </cell>
          <cell r="B816" t="str">
            <v>Office</v>
          </cell>
          <cell r="C816" t="str">
            <v>NA</v>
          </cell>
          <cell r="F816" t="str">
            <v>6351</v>
          </cell>
          <cell r="G816" t="str">
            <v>Office</v>
          </cell>
          <cell r="H816" t="str">
            <v>NA</v>
          </cell>
        </row>
        <row r="817">
          <cell r="A817" t="str">
            <v>6361</v>
          </cell>
          <cell r="B817" t="str">
            <v>Office</v>
          </cell>
          <cell r="C817" t="str">
            <v>NA</v>
          </cell>
          <cell r="F817" t="str">
            <v>6361</v>
          </cell>
          <cell r="G817" t="str">
            <v>Office</v>
          </cell>
          <cell r="H817" t="str">
            <v>NA</v>
          </cell>
        </row>
        <row r="818">
          <cell r="A818" t="str">
            <v>6371</v>
          </cell>
          <cell r="B818" t="str">
            <v>Office</v>
          </cell>
          <cell r="C818" t="str">
            <v>NA</v>
          </cell>
          <cell r="F818" t="str">
            <v>6371</v>
          </cell>
          <cell r="G818" t="str">
            <v>Office</v>
          </cell>
          <cell r="H818" t="str">
            <v>NA</v>
          </cell>
        </row>
        <row r="819">
          <cell r="A819" t="str">
            <v>6399</v>
          </cell>
          <cell r="B819" t="str">
            <v>Office</v>
          </cell>
          <cell r="C819" t="str">
            <v>NA</v>
          </cell>
          <cell r="F819" t="str">
            <v>6399</v>
          </cell>
          <cell r="G819" t="str">
            <v>Office</v>
          </cell>
          <cell r="H819" t="str">
            <v>NA</v>
          </cell>
        </row>
        <row r="820">
          <cell r="A820" t="str">
            <v>6411</v>
          </cell>
          <cell r="B820" t="str">
            <v>Office</v>
          </cell>
          <cell r="C820">
            <v>3</v>
          </cell>
          <cell r="F820" t="str">
            <v>6411</v>
          </cell>
          <cell r="G820" t="str">
            <v>Office</v>
          </cell>
          <cell r="H820">
            <v>4</v>
          </cell>
        </row>
        <row r="821">
          <cell r="A821" t="str">
            <v>6512</v>
          </cell>
          <cell r="B821" t="str">
            <v>Office</v>
          </cell>
          <cell r="C821">
            <v>6</v>
          </cell>
          <cell r="F821" t="str">
            <v>6512</v>
          </cell>
          <cell r="G821" t="str">
            <v>Office</v>
          </cell>
          <cell r="H821">
            <v>7</v>
          </cell>
        </row>
        <row r="822">
          <cell r="A822" t="str">
            <v>6513</v>
          </cell>
          <cell r="B822" t="str">
            <v>Habitational</v>
          </cell>
          <cell r="C822" t="str">
            <v>NA</v>
          </cell>
          <cell r="F822" t="str">
            <v>6513</v>
          </cell>
          <cell r="G822" t="str">
            <v>Habitational</v>
          </cell>
          <cell r="H822" t="str">
            <v>NA</v>
          </cell>
        </row>
        <row r="823">
          <cell r="A823" t="str">
            <v>6514</v>
          </cell>
          <cell r="B823" t="str">
            <v>Habitational</v>
          </cell>
          <cell r="C823" t="str">
            <v>NA</v>
          </cell>
          <cell r="F823" t="str">
            <v>6514</v>
          </cell>
          <cell r="G823" t="str">
            <v>Habitational</v>
          </cell>
          <cell r="H823" t="str">
            <v>NA</v>
          </cell>
        </row>
        <row r="824">
          <cell r="A824" t="str">
            <v>6515</v>
          </cell>
          <cell r="B824" t="str">
            <v>Habitational</v>
          </cell>
          <cell r="C824" t="str">
            <v>NA</v>
          </cell>
          <cell r="F824" t="str">
            <v>6515</v>
          </cell>
          <cell r="G824" t="str">
            <v>Habitational</v>
          </cell>
          <cell r="H824" t="str">
            <v>NA</v>
          </cell>
        </row>
        <row r="825">
          <cell r="A825" t="str">
            <v>6517</v>
          </cell>
          <cell r="B825" t="str">
            <v>Office</v>
          </cell>
          <cell r="C825">
            <v>5</v>
          </cell>
          <cell r="F825" t="str">
            <v>6517</v>
          </cell>
          <cell r="G825" t="str">
            <v>Office</v>
          </cell>
          <cell r="H825">
            <v>8</v>
          </cell>
        </row>
        <row r="826">
          <cell r="A826" t="str">
            <v>6519</v>
          </cell>
          <cell r="B826" t="str">
            <v>Office</v>
          </cell>
          <cell r="C826">
            <v>5</v>
          </cell>
          <cell r="F826" t="str">
            <v>6519</v>
          </cell>
          <cell r="G826" t="str">
            <v>Office</v>
          </cell>
          <cell r="H826">
            <v>5</v>
          </cell>
        </row>
        <row r="827">
          <cell r="A827" t="str">
            <v>6531</v>
          </cell>
          <cell r="B827" t="str">
            <v>Services</v>
          </cell>
          <cell r="C827">
            <v>5</v>
          </cell>
          <cell r="F827" t="str">
            <v>6531</v>
          </cell>
          <cell r="G827" t="str">
            <v>Services</v>
          </cell>
          <cell r="H827">
            <v>5</v>
          </cell>
        </row>
        <row r="828">
          <cell r="A828" t="str">
            <v>6541</v>
          </cell>
          <cell r="B828" t="str">
            <v>Office</v>
          </cell>
          <cell r="C828">
            <v>5</v>
          </cell>
          <cell r="F828" t="str">
            <v>6541</v>
          </cell>
          <cell r="G828" t="str">
            <v>Office</v>
          </cell>
          <cell r="H828">
            <v>5</v>
          </cell>
        </row>
        <row r="829">
          <cell r="A829" t="str">
            <v>6552</v>
          </cell>
          <cell r="B829" t="str">
            <v>Contractors</v>
          </cell>
          <cell r="C829" t="str">
            <v>NA</v>
          </cell>
          <cell r="F829" t="str">
            <v>6552</v>
          </cell>
          <cell r="G829" t="str">
            <v>Contractors</v>
          </cell>
          <cell r="H829" t="str">
            <v>NA</v>
          </cell>
        </row>
        <row r="830">
          <cell r="A830" t="str">
            <v>6553</v>
          </cell>
          <cell r="B830" t="str">
            <v>Services</v>
          </cell>
          <cell r="C830">
            <v>3</v>
          </cell>
          <cell r="F830" t="str">
            <v>6553</v>
          </cell>
          <cell r="G830" t="str">
            <v>Services</v>
          </cell>
          <cell r="H830">
            <v>3</v>
          </cell>
        </row>
        <row r="831">
          <cell r="A831" t="str">
            <v>6712</v>
          </cell>
          <cell r="B831" t="str">
            <v>Office</v>
          </cell>
          <cell r="C831">
            <v>3</v>
          </cell>
          <cell r="F831" t="str">
            <v>6712</v>
          </cell>
          <cell r="G831" t="str">
            <v>Office</v>
          </cell>
          <cell r="H831">
            <v>4</v>
          </cell>
        </row>
        <row r="832">
          <cell r="A832" t="str">
            <v>6719</v>
          </cell>
          <cell r="B832" t="str">
            <v>Office</v>
          </cell>
          <cell r="C832">
            <v>3</v>
          </cell>
          <cell r="F832" t="str">
            <v>6719</v>
          </cell>
          <cell r="G832" t="str">
            <v>Office</v>
          </cell>
          <cell r="H832">
            <v>4</v>
          </cell>
        </row>
        <row r="833">
          <cell r="A833" t="str">
            <v>6722</v>
          </cell>
          <cell r="B833" t="str">
            <v>Office</v>
          </cell>
          <cell r="C833">
            <v>3</v>
          </cell>
          <cell r="F833" t="str">
            <v>6722</v>
          </cell>
          <cell r="G833" t="str">
            <v>Office</v>
          </cell>
          <cell r="H833">
            <v>4</v>
          </cell>
        </row>
        <row r="834">
          <cell r="A834" t="str">
            <v>6726</v>
          </cell>
          <cell r="B834" t="str">
            <v>Office</v>
          </cell>
          <cell r="C834">
            <v>3</v>
          </cell>
          <cell r="F834" t="str">
            <v>6726</v>
          </cell>
          <cell r="G834" t="str">
            <v>Office</v>
          </cell>
          <cell r="H834">
            <v>4</v>
          </cell>
        </row>
        <row r="835">
          <cell r="A835" t="str">
            <v>6732</v>
          </cell>
          <cell r="B835" t="str">
            <v>Office</v>
          </cell>
          <cell r="C835">
            <v>3</v>
          </cell>
          <cell r="F835" t="str">
            <v>6732</v>
          </cell>
          <cell r="G835" t="str">
            <v>Office</v>
          </cell>
          <cell r="H835">
            <v>4</v>
          </cell>
        </row>
        <row r="836">
          <cell r="A836" t="str">
            <v>6733</v>
          </cell>
          <cell r="B836" t="str">
            <v>Office</v>
          </cell>
          <cell r="C836">
            <v>3</v>
          </cell>
          <cell r="F836" t="str">
            <v>6733</v>
          </cell>
          <cell r="G836" t="str">
            <v>Office</v>
          </cell>
          <cell r="H836">
            <v>4</v>
          </cell>
        </row>
        <row r="837">
          <cell r="A837" t="str">
            <v>6792</v>
          </cell>
          <cell r="B837" t="str">
            <v>Office</v>
          </cell>
          <cell r="C837" t="str">
            <v>NA</v>
          </cell>
          <cell r="F837" t="str">
            <v>6792</v>
          </cell>
          <cell r="G837" t="str">
            <v>Office</v>
          </cell>
          <cell r="H837" t="str">
            <v>NA</v>
          </cell>
        </row>
        <row r="838">
          <cell r="A838" t="str">
            <v>6794</v>
          </cell>
          <cell r="B838" t="str">
            <v>Office</v>
          </cell>
          <cell r="C838" t="str">
            <v>NA</v>
          </cell>
          <cell r="F838" t="str">
            <v>6794</v>
          </cell>
          <cell r="G838" t="str">
            <v>Office</v>
          </cell>
          <cell r="H838" t="str">
            <v>NA</v>
          </cell>
        </row>
        <row r="839">
          <cell r="A839" t="str">
            <v>6798</v>
          </cell>
          <cell r="B839" t="str">
            <v>Office</v>
          </cell>
          <cell r="C839">
            <v>6</v>
          </cell>
          <cell r="F839" t="str">
            <v>6798</v>
          </cell>
          <cell r="G839" t="str">
            <v>Office</v>
          </cell>
          <cell r="H839">
            <v>7</v>
          </cell>
        </row>
        <row r="840">
          <cell r="A840" t="str">
            <v>6799</v>
          </cell>
          <cell r="B840" t="str">
            <v>Office</v>
          </cell>
          <cell r="C840" t="str">
            <v>NA</v>
          </cell>
          <cell r="F840" t="str">
            <v>6799</v>
          </cell>
          <cell r="G840" t="str">
            <v>Office</v>
          </cell>
          <cell r="H840" t="str">
            <v>NA</v>
          </cell>
        </row>
        <row r="841">
          <cell r="A841" t="str">
            <v>7011</v>
          </cell>
          <cell r="B841" t="str">
            <v>Habitational</v>
          </cell>
          <cell r="C841" t="str">
            <v>NA</v>
          </cell>
          <cell r="F841" t="str">
            <v>7011</v>
          </cell>
          <cell r="G841" t="str">
            <v>Habitational</v>
          </cell>
          <cell r="H841" t="str">
            <v>NA</v>
          </cell>
        </row>
        <row r="842">
          <cell r="A842" t="str">
            <v>7021</v>
          </cell>
          <cell r="B842" t="str">
            <v>Habitational</v>
          </cell>
          <cell r="C842" t="str">
            <v>NA</v>
          </cell>
          <cell r="F842" t="str">
            <v>7021</v>
          </cell>
          <cell r="G842" t="str">
            <v>Habitational</v>
          </cell>
          <cell r="H842" t="str">
            <v>NA</v>
          </cell>
        </row>
        <row r="843">
          <cell r="A843" t="str">
            <v>7032</v>
          </cell>
          <cell r="B843" t="str">
            <v>Habitational</v>
          </cell>
          <cell r="C843" t="str">
            <v>NA</v>
          </cell>
          <cell r="F843" t="str">
            <v>7032</v>
          </cell>
          <cell r="G843" t="str">
            <v>Habitational</v>
          </cell>
          <cell r="H843" t="str">
            <v>NA</v>
          </cell>
        </row>
        <row r="844">
          <cell r="A844" t="str">
            <v>7033</v>
          </cell>
          <cell r="B844" t="str">
            <v>Habitational</v>
          </cell>
          <cell r="C844" t="str">
            <v>NA</v>
          </cell>
          <cell r="F844" t="str">
            <v>7033</v>
          </cell>
          <cell r="G844" t="str">
            <v>Habitational</v>
          </cell>
          <cell r="H844" t="str">
            <v>NA</v>
          </cell>
        </row>
        <row r="845">
          <cell r="A845" t="str">
            <v>7041</v>
          </cell>
          <cell r="B845" t="str">
            <v>Habitational</v>
          </cell>
          <cell r="C845" t="str">
            <v>NA</v>
          </cell>
          <cell r="F845" t="str">
            <v>7041</v>
          </cell>
          <cell r="G845" t="str">
            <v>Habitational</v>
          </cell>
          <cell r="H845" t="str">
            <v>NA</v>
          </cell>
        </row>
        <row r="846">
          <cell r="A846" t="str">
            <v>7211</v>
          </cell>
          <cell r="B846" t="str">
            <v>Services</v>
          </cell>
          <cell r="C846">
            <v>7</v>
          </cell>
          <cell r="F846" t="str">
            <v>7211</v>
          </cell>
          <cell r="G846" t="str">
            <v>Services</v>
          </cell>
          <cell r="H846">
            <v>5</v>
          </cell>
        </row>
        <row r="847">
          <cell r="A847" t="str">
            <v>7212</v>
          </cell>
          <cell r="B847" t="str">
            <v>Services</v>
          </cell>
          <cell r="C847">
            <v>7</v>
          </cell>
          <cell r="F847" t="str">
            <v>7212</v>
          </cell>
          <cell r="G847" t="str">
            <v>Services</v>
          </cell>
          <cell r="H847">
            <v>5</v>
          </cell>
        </row>
        <row r="848">
          <cell r="A848" t="str">
            <v>7213</v>
          </cell>
          <cell r="B848" t="str">
            <v>Services</v>
          </cell>
          <cell r="C848">
            <v>7</v>
          </cell>
          <cell r="F848" t="str">
            <v>7213</v>
          </cell>
          <cell r="G848" t="str">
            <v>Services</v>
          </cell>
          <cell r="H848">
            <v>5</v>
          </cell>
        </row>
        <row r="849">
          <cell r="A849" t="str">
            <v>7215</v>
          </cell>
          <cell r="B849" t="str">
            <v>Services</v>
          </cell>
          <cell r="C849">
            <v>7</v>
          </cell>
          <cell r="F849" t="str">
            <v>7215</v>
          </cell>
          <cell r="G849" t="str">
            <v>Services</v>
          </cell>
          <cell r="H849">
            <v>5</v>
          </cell>
        </row>
        <row r="850">
          <cell r="A850" t="str">
            <v>7216</v>
          </cell>
          <cell r="B850" t="str">
            <v>Services</v>
          </cell>
          <cell r="C850">
            <v>7</v>
          </cell>
          <cell r="F850" t="str">
            <v>7216</v>
          </cell>
          <cell r="G850" t="str">
            <v>Services</v>
          </cell>
          <cell r="H850">
            <v>6</v>
          </cell>
        </row>
        <row r="851">
          <cell r="A851" t="str">
            <v>7217</v>
          </cell>
          <cell r="B851" t="str">
            <v>Services</v>
          </cell>
          <cell r="C851">
            <v>5</v>
          </cell>
          <cell r="F851" t="str">
            <v>7217</v>
          </cell>
          <cell r="G851" t="str">
            <v>Services</v>
          </cell>
          <cell r="H851">
            <v>7</v>
          </cell>
        </row>
        <row r="852">
          <cell r="A852" t="str">
            <v>7218</v>
          </cell>
          <cell r="B852" t="str">
            <v>Services</v>
          </cell>
          <cell r="C852">
            <v>7</v>
          </cell>
          <cell r="F852" t="str">
            <v>7218</v>
          </cell>
          <cell r="G852" t="str">
            <v>Services</v>
          </cell>
          <cell r="H852">
            <v>6</v>
          </cell>
        </row>
        <row r="853">
          <cell r="A853" t="str">
            <v>7219</v>
          </cell>
          <cell r="B853" t="str">
            <v>Services</v>
          </cell>
          <cell r="C853">
            <v>7</v>
          </cell>
          <cell r="F853" t="str">
            <v>7219</v>
          </cell>
          <cell r="G853" t="str">
            <v>Services</v>
          </cell>
          <cell r="H853">
            <v>6</v>
          </cell>
        </row>
        <row r="854">
          <cell r="A854" t="str">
            <v>7221</v>
          </cell>
          <cell r="B854" t="str">
            <v>Services</v>
          </cell>
          <cell r="C854">
            <v>4</v>
          </cell>
          <cell r="F854" t="str">
            <v>7221</v>
          </cell>
          <cell r="G854" t="str">
            <v>Services</v>
          </cell>
          <cell r="H854">
            <v>2</v>
          </cell>
        </row>
        <row r="855">
          <cell r="A855" t="str">
            <v>7231</v>
          </cell>
          <cell r="B855" t="str">
            <v>Services</v>
          </cell>
          <cell r="C855">
            <v>2</v>
          </cell>
          <cell r="F855" t="str">
            <v>7231</v>
          </cell>
          <cell r="G855" t="str">
            <v>Services</v>
          </cell>
          <cell r="H855">
            <v>3</v>
          </cell>
        </row>
        <row r="856">
          <cell r="A856" t="str">
            <v>7241</v>
          </cell>
          <cell r="B856" t="str">
            <v>Services</v>
          </cell>
          <cell r="C856">
            <v>2</v>
          </cell>
          <cell r="F856" t="str">
            <v>7241</v>
          </cell>
          <cell r="G856" t="str">
            <v>Services</v>
          </cell>
          <cell r="H856">
            <v>2</v>
          </cell>
        </row>
        <row r="857">
          <cell r="A857" t="str">
            <v>7251</v>
          </cell>
          <cell r="B857" t="str">
            <v>Services</v>
          </cell>
          <cell r="C857">
            <v>2</v>
          </cell>
          <cell r="F857" t="str">
            <v>7251</v>
          </cell>
          <cell r="G857" t="str">
            <v>Services</v>
          </cell>
          <cell r="H857">
            <v>1</v>
          </cell>
        </row>
        <row r="858">
          <cell r="A858" t="str">
            <v>7261</v>
          </cell>
          <cell r="B858" t="str">
            <v>Services</v>
          </cell>
          <cell r="C858">
            <v>4</v>
          </cell>
          <cell r="F858" t="str">
            <v>7261</v>
          </cell>
          <cell r="G858" t="str">
            <v>Services</v>
          </cell>
          <cell r="H858">
            <v>3</v>
          </cell>
        </row>
        <row r="859">
          <cell r="A859" t="str">
            <v>7291</v>
          </cell>
          <cell r="B859" t="str">
            <v>Office</v>
          </cell>
          <cell r="C859">
            <v>2</v>
          </cell>
          <cell r="F859" t="str">
            <v>7291</v>
          </cell>
          <cell r="G859" t="str">
            <v>Office</v>
          </cell>
          <cell r="H859">
            <v>2</v>
          </cell>
        </row>
        <row r="860">
          <cell r="A860" t="str">
            <v>7299</v>
          </cell>
          <cell r="B860" t="str">
            <v>Services</v>
          </cell>
          <cell r="C860">
            <v>5</v>
          </cell>
          <cell r="F860" t="str">
            <v>7299</v>
          </cell>
          <cell r="G860" t="str">
            <v>Services</v>
          </cell>
          <cell r="H860">
            <v>5</v>
          </cell>
        </row>
        <row r="861">
          <cell r="A861" t="str">
            <v>7311</v>
          </cell>
          <cell r="B861" t="str">
            <v>Office</v>
          </cell>
          <cell r="C861">
            <v>2</v>
          </cell>
          <cell r="F861" t="str">
            <v>7311</v>
          </cell>
          <cell r="G861" t="str">
            <v>Office</v>
          </cell>
          <cell r="H861">
            <v>3</v>
          </cell>
        </row>
        <row r="862">
          <cell r="A862" t="str">
            <v>7312</v>
          </cell>
          <cell r="B862" t="str">
            <v>Services</v>
          </cell>
          <cell r="C862">
            <v>5</v>
          </cell>
          <cell r="F862" t="str">
            <v>7312</v>
          </cell>
          <cell r="G862" t="str">
            <v>Services</v>
          </cell>
          <cell r="H862">
            <v>5</v>
          </cell>
        </row>
        <row r="863">
          <cell r="A863" t="str">
            <v>7313</v>
          </cell>
          <cell r="B863" t="str">
            <v>Services</v>
          </cell>
          <cell r="C863">
            <v>5</v>
          </cell>
          <cell r="F863" t="str">
            <v>7313</v>
          </cell>
          <cell r="G863" t="str">
            <v>Services</v>
          </cell>
          <cell r="H863">
            <v>5</v>
          </cell>
        </row>
        <row r="864">
          <cell r="A864" t="str">
            <v>7319</v>
          </cell>
          <cell r="B864" t="str">
            <v>Services</v>
          </cell>
          <cell r="C864">
            <v>5</v>
          </cell>
          <cell r="F864" t="str">
            <v>7319</v>
          </cell>
          <cell r="G864" t="str">
            <v>Services</v>
          </cell>
          <cell r="H864">
            <v>5</v>
          </cell>
        </row>
        <row r="865">
          <cell r="A865" t="str">
            <v>7322</v>
          </cell>
          <cell r="B865" t="str">
            <v>Services</v>
          </cell>
          <cell r="C865">
            <v>4</v>
          </cell>
          <cell r="F865" t="str">
            <v>7322</v>
          </cell>
          <cell r="G865" t="str">
            <v>Services</v>
          </cell>
          <cell r="H865">
            <v>9</v>
          </cell>
        </row>
        <row r="866">
          <cell r="A866" t="str">
            <v>7323</v>
          </cell>
          <cell r="B866" t="str">
            <v>Services</v>
          </cell>
          <cell r="C866">
            <v>3</v>
          </cell>
          <cell r="F866" t="str">
            <v>7323</v>
          </cell>
          <cell r="G866" t="str">
            <v>Services</v>
          </cell>
          <cell r="H866">
            <v>7</v>
          </cell>
        </row>
        <row r="867">
          <cell r="A867" t="str">
            <v>7331</v>
          </cell>
          <cell r="B867" t="str">
            <v>Services</v>
          </cell>
          <cell r="C867">
            <v>3</v>
          </cell>
          <cell r="F867" t="str">
            <v>7331</v>
          </cell>
          <cell r="G867" t="str">
            <v>Services</v>
          </cell>
          <cell r="H867">
            <v>4</v>
          </cell>
        </row>
        <row r="868">
          <cell r="A868" t="str">
            <v>7334</v>
          </cell>
          <cell r="B868" t="str">
            <v>Services</v>
          </cell>
          <cell r="C868">
            <v>4</v>
          </cell>
          <cell r="F868" t="str">
            <v>7334</v>
          </cell>
          <cell r="G868" t="str">
            <v>Services</v>
          </cell>
          <cell r="H868">
            <v>2</v>
          </cell>
        </row>
        <row r="869">
          <cell r="A869" t="str">
            <v>7335</v>
          </cell>
          <cell r="B869" t="str">
            <v>Services</v>
          </cell>
          <cell r="C869">
            <v>4</v>
          </cell>
          <cell r="F869" t="str">
            <v>7335</v>
          </cell>
          <cell r="G869" t="str">
            <v>Services</v>
          </cell>
          <cell r="H869">
            <v>3</v>
          </cell>
        </row>
        <row r="870">
          <cell r="A870" t="str">
            <v>7336</v>
          </cell>
          <cell r="B870" t="str">
            <v>Services</v>
          </cell>
          <cell r="C870">
            <v>3</v>
          </cell>
          <cell r="F870" t="str">
            <v>7336</v>
          </cell>
          <cell r="G870" t="str">
            <v>Services</v>
          </cell>
          <cell r="H870">
            <v>3</v>
          </cell>
        </row>
        <row r="871">
          <cell r="A871" t="str">
            <v>7338</v>
          </cell>
          <cell r="B871" t="str">
            <v>Services</v>
          </cell>
          <cell r="C871">
            <v>2</v>
          </cell>
          <cell r="F871" t="str">
            <v>7338</v>
          </cell>
          <cell r="G871" t="str">
            <v>Services</v>
          </cell>
          <cell r="H871">
            <v>2</v>
          </cell>
        </row>
        <row r="872">
          <cell r="A872" t="str">
            <v>7342</v>
          </cell>
          <cell r="B872" t="str">
            <v>Services</v>
          </cell>
          <cell r="C872">
            <v>6</v>
          </cell>
          <cell r="F872" t="str">
            <v>7342</v>
          </cell>
          <cell r="G872" t="str">
            <v>Services</v>
          </cell>
          <cell r="H872">
            <v>9</v>
          </cell>
        </row>
        <row r="873">
          <cell r="A873" t="str">
            <v>7349</v>
          </cell>
          <cell r="B873" t="str">
            <v>Services</v>
          </cell>
          <cell r="C873">
            <v>6</v>
          </cell>
          <cell r="F873" t="str">
            <v>7349</v>
          </cell>
          <cell r="G873" t="str">
            <v>Services</v>
          </cell>
          <cell r="H873">
            <v>8</v>
          </cell>
        </row>
        <row r="874">
          <cell r="A874" t="str">
            <v>7352</v>
          </cell>
          <cell r="B874" t="str">
            <v>Services</v>
          </cell>
          <cell r="C874">
            <v>7</v>
          </cell>
          <cell r="F874" t="str">
            <v>7352</v>
          </cell>
          <cell r="G874" t="str">
            <v>Services</v>
          </cell>
          <cell r="H874">
            <v>10</v>
          </cell>
        </row>
        <row r="875">
          <cell r="A875" t="str">
            <v>7353</v>
          </cell>
          <cell r="B875" t="str">
            <v>Contractors</v>
          </cell>
          <cell r="C875" t="str">
            <v>NA</v>
          </cell>
          <cell r="F875" t="str">
            <v>7353</v>
          </cell>
          <cell r="G875" t="str">
            <v>Contractors</v>
          </cell>
          <cell r="H875" t="str">
            <v>NA</v>
          </cell>
        </row>
        <row r="876">
          <cell r="A876" t="str">
            <v>7359</v>
          </cell>
          <cell r="B876" t="str">
            <v>Contractors</v>
          </cell>
          <cell r="C876" t="str">
            <v>NA</v>
          </cell>
          <cell r="F876" t="str">
            <v>7359</v>
          </cell>
          <cell r="G876" t="str">
            <v>Contractors</v>
          </cell>
          <cell r="H876" t="str">
            <v>NA</v>
          </cell>
        </row>
        <row r="877">
          <cell r="A877" t="str">
            <v>7361</v>
          </cell>
          <cell r="B877" t="str">
            <v>Services</v>
          </cell>
          <cell r="C877">
            <v>3</v>
          </cell>
          <cell r="F877" t="str">
            <v>7361</v>
          </cell>
          <cell r="G877" t="str">
            <v>Services</v>
          </cell>
          <cell r="H877">
            <v>7</v>
          </cell>
        </row>
        <row r="878">
          <cell r="A878" t="str">
            <v>7363</v>
          </cell>
          <cell r="B878" t="str">
            <v>Services</v>
          </cell>
          <cell r="C878">
            <v>3</v>
          </cell>
          <cell r="F878" t="str">
            <v>7363</v>
          </cell>
          <cell r="G878" t="str">
            <v>Services</v>
          </cell>
          <cell r="H878">
            <v>7</v>
          </cell>
        </row>
        <row r="879">
          <cell r="A879" t="str">
            <v>7371</v>
          </cell>
          <cell r="B879" t="str">
            <v>High Tech</v>
          </cell>
          <cell r="C879">
            <v>8</v>
          </cell>
          <cell r="F879" t="str">
            <v>7371</v>
          </cell>
          <cell r="G879" t="str">
            <v>High Tech</v>
          </cell>
          <cell r="H879">
            <v>8</v>
          </cell>
        </row>
        <row r="880">
          <cell r="A880" t="str">
            <v>7372</v>
          </cell>
          <cell r="B880" t="str">
            <v>High Tech</v>
          </cell>
          <cell r="C880">
            <v>4</v>
          </cell>
          <cell r="F880" t="str">
            <v>7372</v>
          </cell>
          <cell r="G880" t="str">
            <v>High Tech</v>
          </cell>
          <cell r="H880">
            <v>3</v>
          </cell>
        </row>
        <row r="881">
          <cell r="A881" t="str">
            <v>7373</v>
          </cell>
          <cell r="B881" t="str">
            <v>High Tech</v>
          </cell>
          <cell r="C881">
            <v>7</v>
          </cell>
          <cell r="F881" t="str">
            <v>7373</v>
          </cell>
          <cell r="G881" t="str">
            <v>High Tech</v>
          </cell>
          <cell r="H881">
            <v>7</v>
          </cell>
        </row>
        <row r="882">
          <cell r="A882" t="str">
            <v>7374</v>
          </cell>
          <cell r="B882" t="str">
            <v>High Tech</v>
          </cell>
          <cell r="C882">
            <v>7</v>
          </cell>
          <cell r="F882" t="str">
            <v>7374</v>
          </cell>
          <cell r="G882" t="str">
            <v>High Tech</v>
          </cell>
          <cell r="H882">
            <v>6</v>
          </cell>
        </row>
        <row r="883">
          <cell r="A883" t="str">
            <v>7375</v>
          </cell>
          <cell r="B883" t="str">
            <v>High Tech</v>
          </cell>
          <cell r="C883">
            <v>7</v>
          </cell>
          <cell r="F883" t="str">
            <v>7375</v>
          </cell>
          <cell r="G883" t="str">
            <v>High Tech</v>
          </cell>
          <cell r="H883">
            <v>6</v>
          </cell>
        </row>
        <row r="884">
          <cell r="A884" t="str">
            <v>7376</v>
          </cell>
          <cell r="B884" t="str">
            <v>High Tech</v>
          </cell>
          <cell r="C884">
            <v>7</v>
          </cell>
          <cell r="F884" t="str">
            <v>7376</v>
          </cell>
          <cell r="G884" t="str">
            <v>High Tech</v>
          </cell>
          <cell r="H884">
            <v>6</v>
          </cell>
        </row>
        <row r="885">
          <cell r="A885" t="str">
            <v>7377</v>
          </cell>
          <cell r="B885" t="str">
            <v>High Tech</v>
          </cell>
          <cell r="C885">
            <v>7</v>
          </cell>
          <cell r="F885" t="str">
            <v>7377</v>
          </cell>
          <cell r="G885" t="str">
            <v>High Tech</v>
          </cell>
          <cell r="H885">
            <v>5</v>
          </cell>
        </row>
        <row r="886">
          <cell r="A886" t="str">
            <v>7378</v>
          </cell>
          <cell r="B886" t="str">
            <v>High Tech</v>
          </cell>
          <cell r="C886">
            <v>5</v>
          </cell>
          <cell r="F886" t="str">
            <v>7378</v>
          </cell>
          <cell r="G886" t="str">
            <v>High Tech</v>
          </cell>
          <cell r="H886">
            <v>7</v>
          </cell>
        </row>
        <row r="887">
          <cell r="A887" t="str">
            <v xml:space="preserve">7379 </v>
          </cell>
          <cell r="B887" t="str">
            <v>High Tech</v>
          </cell>
          <cell r="C887">
            <v>5</v>
          </cell>
          <cell r="F887" t="str">
            <v xml:space="preserve">7379 </v>
          </cell>
          <cell r="G887" t="str">
            <v>High Tech</v>
          </cell>
          <cell r="H887">
            <v>5</v>
          </cell>
        </row>
        <row r="888">
          <cell r="A888" t="str">
            <v>7381</v>
          </cell>
          <cell r="B888" t="str">
            <v>Services</v>
          </cell>
          <cell r="C888" t="str">
            <v>NA</v>
          </cell>
          <cell r="F888" t="str">
            <v>7381</v>
          </cell>
          <cell r="G888" t="str">
            <v>Services</v>
          </cell>
          <cell r="H888" t="str">
            <v>NA</v>
          </cell>
        </row>
        <row r="889">
          <cell r="A889" t="str">
            <v>7382</v>
          </cell>
          <cell r="B889" t="str">
            <v>Services</v>
          </cell>
          <cell r="C889" t="str">
            <v>NA</v>
          </cell>
          <cell r="F889" t="str">
            <v>7382</v>
          </cell>
          <cell r="G889" t="str">
            <v>Services</v>
          </cell>
          <cell r="H889" t="str">
            <v>NA</v>
          </cell>
        </row>
        <row r="890">
          <cell r="A890" t="str">
            <v>7383</v>
          </cell>
          <cell r="B890" t="str">
            <v>Services</v>
          </cell>
          <cell r="C890" t="str">
            <v>NA</v>
          </cell>
          <cell r="F890" t="str">
            <v>7383</v>
          </cell>
          <cell r="G890" t="str">
            <v>Services</v>
          </cell>
          <cell r="H890" t="str">
            <v>NA</v>
          </cell>
        </row>
        <row r="891">
          <cell r="A891" t="str">
            <v>7384</v>
          </cell>
          <cell r="B891" t="str">
            <v>Services</v>
          </cell>
          <cell r="C891">
            <v>4</v>
          </cell>
          <cell r="F891" t="str">
            <v>7384</v>
          </cell>
          <cell r="G891" t="str">
            <v>Services</v>
          </cell>
          <cell r="H891">
            <v>2</v>
          </cell>
        </row>
        <row r="892">
          <cell r="A892" t="str">
            <v>7389</v>
          </cell>
          <cell r="B892" t="str">
            <v>Services</v>
          </cell>
          <cell r="C892">
            <v>5</v>
          </cell>
          <cell r="F892" t="str">
            <v>7389</v>
          </cell>
          <cell r="G892" t="str">
            <v>Services</v>
          </cell>
          <cell r="H892">
            <v>5</v>
          </cell>
        </row>
        <row r="893">
          <cell r="A893" t="str">
            <v>7513</v>
          </cell>
          <cell r="B893" t="str">
            <v>Services</v>
          </cell>
          <cell r="C893" t="str">
            <v>NA</v>
          </cell>
          <cell r="F893" t="str">
            <v>7513</v>
          </cell>
          <cell r="G893" t="str">
            <v>Services</v>
          </cell>
          <cell r="H893" t="str">
            <v>NA</v>
          </cell>
        </row>
        <row r="894">
          <cell r="A894" t="str">
            <v>7514</v>
          </cell>
          <cell r="B894" t="str">
            <v>Services</v>
          </cell>
          <cell r="C894" t="str">
            <v>NA</v>
          </cell>
          <cell r="F894" t="str">
            <v>7514</v>
          </cell>
          <cell r="G894" t="str">
            <v>Services</v>
          </cell>
          <cell r="H894" t="str">
            <v>NA</v>
          </cell>
        </row>
        <row r="895">
          <cell r="A895" t="str">
            <v>7515</v>
          </cell>
          <cell r="B895" t="str">
            <v>Services</v>
          </cell>
          <cell r="C895" t="str">
            <v>NA</v>
          </cell>
          <cell r="F895" t="str">
            <v>7515</v>
          </cell>
          <cell r="G895" t="str">
            <v>Services</v>
          </cell>
          <cell r="H895" t="str">
            <v>NA</v>
          </cell>
        </row>
        <row r="896">
          <cell r="A896" t="str">
            <v>7519</v>
          </cell>
          <cell r="B896" t="str">
            <v>Services</v>
          </cell>
          <cell r="C896" t="str">
            <v>NA</v>
          </cell>
          <cell r="F896" t="str">
            <v>7519</v>
          </cell>
          <cell r="G896" t="str">
            <v>Services</v>
          </cell>
          <cell r="H896" t="str">
            <v>NA</v>
          </cell>
        </row>
        <row r="897">
          <cell r="A897" t="str">
            <v>7521</v>
          </cell>
          <cell r="B897" t="str">
            <v>Services</v>
          </cell>
          <cell r="C897" t="str">
            <v>NA</v>
          </cell>
          <cell r="F897" t="str">
            <v>7521</v>
          </cell>
          <cell r="G897" t="str">
            <v>Services</v>
          </cell>
          <cell r="H897" t="str">
            <v>NA</v>
          </cell>
        </row>
        <row r="898">
          <cell r="A898" t="str">
            <v>7532</v>
          </cell>
          <cell r="B898" t="str">
            <v>Services</v>
          </cell>
          <cell r="C898">
            <v>7</v>
          </cell>
          <cell r="F898" t="str">
            <v>7532</v>
          </cell>
          <cell r="G898" t="str">
            <v>Services</v>
          </cell>
          <cell r="H898">
            <v>6</v>
          </cell>
        </row>
        <row r="899">
          <cell r="A899" t="str">
            <v>7533</v>
          </cell>
          <cell r="B899" t="str">
            <v>Services</v>
          </cell>
          <cell r="C899">
            <v>5</v>
          </cell>
          <cell r="F899" t="str">
            <v>7533</v>
          </cell>
          <cell r="G899" t="str">
            <v>Services</v>
          </cell>
          <cell r="H899">
            <v>7</v>
          </cell>
        </row>
        <row r="900">
          <cell r="A900" t="str">
            <v>7534</v>
          </cell>
          <cell r="B900" t="str">
            <v>Services</v>
          </cell>
          <cell r="C900" t="str">
            <v>NA</v>
          </cell>
          <cell r="F900" t="str">
            <v>7534</v>
          </cell>
          <cell r="G900" t="str">
            <v>Services</v>
          </cell>
          <cell r="H900" t="str">
            <v>NA</v>
          </cell>
        </row>
        <row r="901">
          <cell r="A901" t="str">
            <v>7536</v>
          </cell>
          <cell r="B901" t="str">
            <v>Services</v>
          </cell>
          <cell r="C901">
            <v>5</v>
          </cell>
          <cell r="F901" t="str">
            <v>7536</v>
          </cell>
          <cell r="G901" t="str">
            <v>Services</v>
          </cell>
          <cell r="H901">
            <v>4</v>
          </cell>
        </row>
        <row r="902">
          <cell r="A902" t="str">
            <v>7537</v>
          </cell>
          <cell r="B902" t="str">
            <v>Services</v>
          </cell>
          <cell r="C902">
            <v>5</v>
          </cell>
          <cell r="F902" t="str">
            <v>7537</v>
          </cell>
          <cell r="G902" t="str">
            <v>Services</v>
          </cell>
          <cell r="H902">
            <v>6</v>
          </cell>
        </row>
        <row r="903">
          <cell r="A903" t="str">
            <v>7538</v>
          </cell>
          <cell r="B903" t="str">
            <v>Services</v>
          </cell>
          <cell r="C903">
            <v>6</v>
          </cell>
          <cell r="F903" t="str">
            <v>7538</v>
          </cell>
          <cell r="G903" t="str">
            <v>Services</v>
          </cell>
          <cell r="H903">
            <v>7</v>
          </cell>
        </row>
        <row r="904">
          <cell r="A904" t="str">
            <v>7539</v>
          </cell>
          <cell r="B904" t="str">
            <v>Services</v>
          </cell>
          <cell r="C904">
            <v>5</v>
          </cell>
          <cell r="F904" t="str">
            <v>7539</v>
          </cell>
          <cell r="G904" t="str">
            <v>Services</v>
          </cell>
          <cell r="H904">
            <v>7</v>
          </cell>
        </row>
        <row r="905">
          <cell r="A905" t="str">
            <v>7542</v>
          </cell>
          <cell r="B905" t="str">
            <v>Services</v>
          </cell>
          <cell r="C905">
            <v>6</v>
          </cell>
          <cell r="F905" t="str">
            <v>7542</v>
          </cell>
          <cell r="G905" t="str">
            <v>Services</v>
          </cell>
          <cell r="H905">
            <v>9</v>
          </cell>
        </row>
        <row r="906">
          <cell r="A906" t="str">
            <v>7549</v>
          </cell>
          <cell r="B906" t="str">
            <v>Services</v>
          </cell>
          <cell r="C906">
            <v>5</v>
          </cell>
          <cell r="F906" t="str">
            <v>7549</v>
          </cell>
          <cell r="G906" t="str">
            <v>Services</v>
          </cell>
          <cell r="H906">
            <v>6</v>
          </cell>
        </row>
        <row r="907">
          <cell r="A907" t="str">
            <v>7622</v>
          </cell>
          <cell r="B907" t="str">
            <v>Services</v>
          </cell>
          <cell r="C907">
            <v>7</v>
          </cell>
          <cell r="F907" t="str">
            <v>7622</v>
          </cell>
          <cell r="G907" t="str">
            <v>Services</v>
          </cell>
          <cell r="H907">
            <v>4</v>
          </cell>
        </row>
        <row r="908">
          <cell r="A908" t="str">
            <v>7623</v>
          </cell>
          <cell r="B908" t="str">
            <v>Services</v>
          </cell>
          <cell r="C908">
            <v>7</v>
          </cell>
          <cell r="F908" t="str">
            <v>7623</v>
          </cell>
          <cell r="G908" t="str">
            <v>Services</v>
          </cell>
          <cell r="H908">
            <v>5</v>
          </cell>
        </row>
        <row r="909">
          <cell r="A909" t="str">
            <v>7629</v>
          </cell>
          <cell r="B909" t="str">
            <v>Services</v>
          </cell>
          <cell r="C909">
            <v>7</v>
          </cell>
          <cell r="F909" t="str">
            <v>7629</v>
          </cell>
          <cell r="G909" t="str">
            <v>Services</v>
          </cell>
          <cell r="H909">
            <v>5</v>
          </cell>
        </row>
        <row r="910">
          <cell r="A910" t="str">
            <v>7631</v>
          </cell>
          <cell r="B910" t="str">
            <v>Services</v>
          </cell>
          <cell r="C910">
            <v>8</v>
          </cell>
          <cell r="F910" t="str">
            <v>7631</v>
          </cell>
          <cell r="G910" t="str">
            <v>Services</v>
          </cell>
          <cell r="H910">
            <v>4</v>
          </cell>
        </row>
        <row r="911">
          <cell r="A911" t="str">
            <v>7641</v>
          </cell>
          <cell r="B911" t="str">
            <v>Services</v>
          </cell>
          <cell r="C911">
            <v>8</v>
          </cell>
          <cell r="F911" t="str">
            <v>7641</v>
          </cell>
          <cell r="G911" t="str">
            <v>Services</v>
          </cell>
          <cell r="H911">
            <v>6</v>
          </cell>
        </row>
        <row r="912">
          <cell r="A912" t="str">
            <v>7692</v>
          </cell>
          <cell r="B912" t="str">
            <v>Services</v>
          </cell>
          <cell r="C912" t="str">
            <v>NA</v>
          </cell>
          <cell r="F912" t="str">
            <v>7692</v>
          </cell>
          <cell r="G912" t="str">
            <v>Services</v>
          </cell>
          <cell r="H912" t="str">
            <v>NA</v>
          </cell>
        </row>
        <row r="913">
          <cell r="A913" t="str">
            <v>7694</v>
          </cell>
          <cell r="B913" t="str">
            <v>Services</v>
          </cell>
          <cell r="C913" t="str">
            <v>NA</v>
          </cell>
          <cell r="F913" t="str">
            <v>7694</v>
          </cell>
          <cell r="G913" t="str">
            <v>Services</v>
          </cell>
          <cell r="H913" t="str">
            <v>NA</v>
          </cell>
        </row>
        <row r="914">
          <cell r="A914" t="str">
            <v>7699</v>
          </cell>
          <cell r="B914" t="str">
            <v>Services</v>
          </cell>
          <cell r="C914">
            <v>5</v>
          </cell>
          <cell r="F914" t="str">
            <v>7699</v>
          </cell>
          <cell r="G914" t="str">
            <v>Services</v>
          </cell>
          <cell r="H914">
            <v>5</v>
          </cell>
        </row>
        <row r="915">
          <cell r="A915" t="str">
            <v>7812</v>
          </cell>
          <cell r="B915" t="str">
            <v>Manufacturing</v>
          </cell>
          <cell r="C915" t="str">
            <v>NA</v>
          </cell>
          <cell r="F915" t="str">
            <v>7812</v>
          </cell>
          <cell r="G915" t="str">
            <v>Manufacturing</v>
          </cell>
          <cell r="H915" t="str">
            <v>NA</v>
          </cell>
        </row>
        <row r="916">
          <cell r="A916" t="str">
            <v>7819</v>
          </cell>
          <cell r="B916" t="str">
            <v>Services</v>
          </cell>
          <cell r="C916">
            <v>7</v>
          </cell>
          <cell r="F916" t="str">
            <v>7819</v>
          </cell>
          <cell r="G916" t="str">
            <v>Services</v>
          </cell>
          <cell r="H916">
            <v>7</v>
          </cell>
        </row>
        <row r="917">
          <cell r="A917" t="str">
            <v>7822</v>
          </cell>
          <cell r="B917" t="str">
            <v>Services</v>
          </cell>
          <cell r="C917">
            <v>8</v>
          </cell>
          <cell r="F917" t="str">
            <v>7822</v>
          </cell>
          <cell r="G917" t="str">
            <v>Services</v>
          </cell>
          <cell r="H917">
            <v>5</v>
          </cell>
        </row>
        <row r="918">
          <cell r="A918" t="str">
            <v>7829</v>
          </cell>
          <cell r="B918" t="str">
            <v>Services</v>
          </cell>
          <cell r="C918">
            <v>8</v>
          </cell>
          <cell r="F918" t="str">
            <v>7829</v>
          </cell>
          <cell r="G918" t="str">
            <v>Services</v>
          </cell>
          <cell r="H918">
            <v>5</v>
          </cell>
        </row>
        <row r="919">
          <cell r="A919" t="str">
            <v>7832</v>
          </cell>
          <cell r="B919" t="str">
            <v>Services</v>
          </cell>
          <cell r="C919" t="str">
            <v>NA</v>
          </cell>
          <cell r="F919" t="str">
            <v>7832</v>
          </cell>
          <cell r="G919" t="str">
            <v>Services</v>
          </cell>
          <cell r="H919" t="str">
            <v>NA</v>
          </cell>
        </row>
        <row r="920">
          <cell r="A920" t="str">
            <v>7833</v>
          </cell>
          <cell r="B920" t="str">
            <v>Services</v>
          </cell>
          <cell r="C920" t="str">
            <v>NA</v>
          </cell>
          <cell r="F920" t="str">
            <v>7833</v>
          </cell>
          <cell r="G920" t="str">
            <v>Services</v>
          </cell>
          <cell r="H920" t="str">
            <v>NA</v>
          </cell>
        </row>
        <row r="921">
          <cell r="A921" t="str">
            <v>7841</v>
          </cell>
          <cell r="B921" t="str">
            <v>Retail</v>
          </cell>
          <cell r="C921">
            <v>3</v>
          </cell>
          <cell r="F921" t="str">
            <v>7841</v>
          </cell>
          <cell r="G921" t="str">
            <v>Retail</v>
          </cell>
          <cell r="H921">
            <v>3</v>
          </cell>
        </row>
        <row r="922">
          <cell r="A922" t="str">
            <v>7911</v>
          </cell>
          <cell r="B922" t="str">
            <v>Services</v>
          </cell>
          <cell r="C922">
            <v>4</v>
          </cell>
          <cell r="F922" t="str">
            <v>7911</v>
          </cell>
          <cell r="G922" t="str">
            <v>Services</v>
          </cell>
          <cell r="H922">
            <v>8</v>
          </cell>
        </row>
        <row r="923">
          <cell r="A923" t="str">
            <v>7922</v>
          </cell>
          <cell r="B923" t="str">
            <v>Services</v>
          </cell>
          <cell r="C923" t="str">
            <v>NA</v>
          </cell>
          <cell r="F923" t="str">
            <v>7922</v>
          </cell>
          <cell r="G923" t="str">
            <v>Services</v>
          </cell>
          <cell r="H923" t="str">
            <v>NA</v>
          </cell>
        </row>
        <row r="924">
          <cell r="A924" t="str">
            <v>7929</v>
          </cell>
          <cell r="B924" t="str">
            <v>Services</v>
          </cell>
          <cell r="C924" t="str">
            <v>NA</v>
          </cell>
          <cell r="F924" t="str">
            <v>7929</v>
          </cell>
          <cell r="G924" t="str">
            <v>Services</v>
          </cell>
          <cell r="H924" t="str">
            <v>NA</v>
          </cell>
        </row>
        <row r="925">
          <cell r="A925" t="str">
            <v>7933</v>
          </cell>
          <cell r="B925" t="str">
            <v>Services</v>
          </cell>
          <cell r="C925" t="str">
            <v>NA</v>
          </cell>
          <cell r="F925" t="str">
            <v>7933</v>
          </cell>
          <cell r="G925" t="str">
            <v>Services</v>
          </cell>
          <cell r="H925" t="str">
            <v>NA</v>
          </cell>
        </row>
        <row r="926">
          <cell r="A926" t="str">
            <v>7941</v>
          </cell>
          <cell r="B926" t="str">
            <v>Services</v>
          </cell>
          <cell r="C926" t="str">
            <v>NA</v>
          </cell>
          <cell r="F926" t="str">
            <v>7941</v>
          </cell>
          <cell r="G926" t="str">
            <v>Services</v>
          </cell>
          <cell r="H926" t="str">
            <v>NA</v>
          </cell>
        </row>
        <row r="927">
          <cell r="A927" t="str">
            <v>7948</v>
          </cell>
          <cell r="B927" t="str">
            <v>Services</v>
          </cell>
          <cell r="C927" t="str">
            <v>NA</v>
          </cell>
          <cell r="F927" t="str">
            <v>7948</v>
          </cell>
          <cell r="G927" t="str">
            <v>Services</v>
          </cell>
          <cell r="H927" t="str">
            <v>NA</v>
          </cell>
        </row>
        <row r="928">
          <cell r="A928" t="str">
            <v>7991</v>
          </cell>
          <cell r="B928" t="str">
            <v>Services</v>
          </cell>
          <cell r="C928" t="str">
            <v>NA</v>
          </cell>
          <cell r="F928" t="str">
            <v>7991</v>
          </cell>
          <cell r="G928" t="str">
            <v>Services</v>
          </cell>
          <cell r="H928" t="str">
            <v>NA</v>
          </cell>
        </row>
        <row r="929">
          <cell r="A929" t="str">
            <v>7992</v>
          </cell>
          <cell r="B929" t="str">
            <v>Services</v>
          </cell>
          <cell r="C929" t="str">
            <v>NA</v>
          </cell>
          <cell r="F929" t="str">
            <v>7992</v>
          </cell>
          <cell r="G929" t="str">
            <v>Services</v>
          </cell>
          <cell r="H929" t="str">
            <v>NA</v>
          </cell>
        </row>
        <row r="930">
          <cell r="A930" t="str">
            <v>7993</v>
          </cell>
          <cell r="B930" t="str">
            <v>Services</v>
          </cell>
          <cell r="C930" t="str">
            <v>NA</v>
          </cell>
          <cell r="F930" t="str">
            <v>7993</v>
          </cell>
          <cell r="G930" t="str">
            <v>Services</v>
          </cell>
          <cell r="H930" t="str">
            <v>NA</v>
          </cell>
        </row>
        <row r="931">
          <cell r="A931" t="str">
            <v>7996</v>
          </cell>
          <cell r="B931" t="str">
            <v>Services</v>
          </cell>
          <cell r="C931" t="str">
            <v>NA</v>
          </cell>
          <cell r="F931" t="str">
            <v>7996</v>
          </cell>
          <cell r="G931" t="str">
            <v>Services</v>
          </cell>
          <cell r="H931" t="str">
            <v>NA</v>
          </cell>
        </row>
        <row r="932">
          <cell r="A932" t="str">
            <v>7997</v>
          </cell>
          <cell r="B932" t="str">
            <v>Services</v>
          </cell>
          <cell r="C932" t="str">
            <v>NA</v>
          </cell>
          <cell r="F932" t="str">
            <v>7997</v>
          </cell>
          <cell r="G932" t="str">
            <v>Services</v>
          </cell>
          <cell r="H932" t="str">
            <v>NA</v>
          </cell>
        </row>
        <row r="933">
          <cell r="A933" t="str">
            <v>7999</v>
          </cell>
          <cell r="B933" t="str">
            <v>Services</v>
          </cell>
          <cell r="C933" t="str">
            <v>NA</v>
          </cell>
          <cell r="F933" t="str">
            <v>7999</v>
          </cell>
          <cell r="G933" t="str">
            <v>Services</v>
          </cell>
          <cell r="H933" t="str">
            <v>NA</v>
          </cell>
        </row>
        <row r="934">
          <cell r="A934" t="str">
            <v>8011</v>
          </cell>
          <cell r="B934" t="str">
            <v>Office</v>
          </cell>
          <cell r="C934">
            <v>3</v>
          </cell>
          <cell r="F934" t="str">
            <v>8011</v>
          </cell>
          <cell r="G934" t="str">
            <v>Office</v>
          </cell>
          <cell r="H934">
            <v>3</v>
          </cell>
        </row>
        <row r="935">
          <cell r="A935" t="str">
            <v>8021</v>
          </cell>
          <cell r="B935" t="str">
            <v>Office</v>
          </cell>
          <cell r="C935">
            <v>2</v>
          </cell>
          <cell r="F935" t="str">
            <v>8021</v>
          </cell>
          <cell r="G935" t="str">
            <v>Office</v>
          </cell>
          <cell r="H935">
            <v>2</v>
          </cell>
        </row>
        <row r="936">
          <cell r="A936" t="str">
            <v>8031</v>
          </cell>
          <cell r="B936" t="str">
            <v>Office</v>
          </cell>
          <cell r="C936">
            <v>2</v>
          </cell>
          <cell r="F936" t="str">
            <v>8031</v>
          </cell>
          <cell r="G936" t="str">
            <v>Office</v>
          </cell>
          <cell r="H936">
            <v>3</v>
          </cell>
        </row>
        <row r="937">
          <cell r="A937" t="str">
            <v>8041</v>
          </cell>
          <cell r="B937" t="str">
            <v>Office</v>
          </cell>
          <cell r="C937">
            <v>2</v>
          </cell>
          <cell r="F937" t="str">
            <v>8041</v>
          </cell>
          <cell r="G937" t="str">
            <v>Office</v>
          </cell>
          <cell r="H937">
            <v>4</v>
          </cell>
        </row>
        <row r="938">
          <cell r="A938" t="str">
            <v>8042</v>
          </cell>
          <cell r="B938" t="str">
            <v>Office</v>
          </cell>
          <cell r="C938">
            <v>2</v>
          </cell>
          <cell r="F938" t="str">
            <v>8042</v>
          </cell>
          <cell r="G938" t="str">
            <v>Office</v>
          </cell>
          <cell r="H938">
            <v>2</v>
          </cell>
        </row>
        <row r="939">
          <cell r="A939" t="str">
            <v>8043</v>
          </cell>
          <cell r="B939" t="str">
            <v>Office</v>
          </cell>
          <cell r="C939">
            <v>2</v>
          </cell>
          <cell r="F939" t="str">
            <v>8043</v>
          </cell>
          <cell r="G939" t="str">
            <v>Office</v>
          </cell>
          <cell r="H939">
            <v>2</v>
          </cell>
        </row>
        <row r="940">
          <cell r="A940" t="str">
            <v>8049</v>
          </cell>
          <cell r="B940" t="str">
            <v>Office</v>
          </cell>
          <cell r="C940">
            <v>3</v>
          </cell>
          <cell r="F940" t="str">
            <v>8049</v>
          </cell>
          <cell r="G940" t="str">
            <v>Office</v>
          </cell>
          <cell r="H940">
            <v>4</v>
          </cell>
        </row>
        <row r="941">
          <cell r="A941" t="str">
            <v>8051</v>
          </cell>
          <cell r="B941" t="str">
            <v>Office</v>
          </cell>
          <cell r="C941" t="str">
            <v>NA</v>
          </cell>
          <cell r="F941" t="str">
            <v>8051</v>
          </cell>
          <cell r="G941" t="str">
            <v>Office</v>
          </cell>
          <cell r="H941" t="str">
            <v>NA</v>
          </cell>
        </row>
        <row r="942">
          <cell r="A942" t="str">
            <v>8052</v>
          </cell>
          <cell r="B942" t="str">
            <v>Office</v>
          </cell>
          <cell r="C942" t="str">
            <v>NA</v>
          </cell>
          <cell r="F942" t="str">
            <v>8052</v>
          </cell>
          <cell r="G942" t="str">
            <v>Office</v>
          </cell>
          <cell r="H942" t="str">
            <v>NA</v>
          </cell>
        </row>
        <row r="943">
          <cell r="A943" t="str">
            <v>8059</v>
          </cell>
          <cell r="B943" t="str">
            <v>Habitational</v>
          </cell>
          <cell r="C943" t="str">
            <v>NA</v>
          </cell>
          <cell r="F943" t="str">
            <v>8059</v>
          </cell>
          <cell r="G943" t="str">
            <v>Habitational</v>
          </cell>
          <cell r="H943" t="str">
            <v>NA</v>
          </cell>
        </row>
        <row r="944">
          <cell r="A944" t="str">
            <v>8062</v>
          </cell>
          <cell r="B944" t="str">
            <v>Office</v>
          </cell>
          <cell r="C944" t="str">
            <v>NA</v>
          </cell>
          <cell r="F944" t="str">
            <v>8062</v>
          </cell>
          <cell r="G944" t="str">
            <v>Office</v>
          </cell>
          <cell r="H944" t="str">
            <v>NA</v>
          </cell>
        </row>
        <row r="945">
          <cell r="A945" t="str">
            <v>8063</v>
          </cell>
          <cell r="B945" t="str">
            <v>Office</v>
          </cell>
          <cell r="C945" t="str">
            <v>NA</v>
          </cell>
          <cell r="F945" t="str">
            <v>8063</v>
          </cell>
          <cell r="G945" t="str">
            <v>Office</v>
          </cell>
          <cell r="H945" t="str">
            <v>NA</v>
          </cell>
        </row>
        <row r="946">
          <cell r="A946" t="str">
            <v>8069</v>
          </cell>
          <cell r="B946" t="str">
            <v>Office</v>
          </cell>
          <cell r="C946" t="str">
            <v>NA</v>
          </cell>
          <cell r="F946" t="str">
            <v>8069</v>
          </cell>
          <cell r="G946" t="str">
            <v>Office</v>
          </cell>
          <cell r="H946" t="str">
            <v>NA</v>
          </cell>
        </row>
        <row r="947">
          <cell r="A947" t="str">
            <v>8071</v>
          </cell>
          <cell r="B947" t="str">
            <v>Services</v>
          </cell>
          <cell r="C947">
            <v>5</v>
          </cell>
          <cell r="F947" t="str">
            <v>8071</v>
          </cell>
          <cell r="G947" t="str">
            <v>Services</v>
          </cell>
          <cell r="H947">
            <v>7</v>
          </cell>
        </row>
        <row r="948">
          <cell r="A948" t="str">
            <v>8072</v>
          </cell>
          <cell r="B948" t="str">
            <v>Services</v>
          </cell>
          <cell r="C948">
            <v>3</v>
          </cell>
          <cell r="F948" t="str">
            <v>8072</v>
          </cell>
          <cell r="G948" t="str">
            <v>Services</v>
          </cell>
          <cell r="H948">
            <v>3</v>
          </cell>
        </row>
        <row r="949">
          <cell r="A949" t="str">
            <v>8082</v>
          </cell>
          <cell r="B949" t="str">
            <v>Services</v>
          </cell>
          <cell r="C949">
            <v>4</v>
          </cell>
          <cell r="F949" t="str">
            <v>8082</v>
          </cell>
          <cell r="G949" t="str">
            <v>Services</v>
          </cell>
          <cell r="H949">
            <v>9</v>
          </cell>
        </row>
        <row r="950">
          <cell r="A950" t="str">
            <v>8092</v>
          </cell>
          <cell r="B950" t="str">
            <v>Office</v>
          </cell>
          <cell r="C950" t="str">
            <v>NA</v>
          </cell>
          <cell r="F950" t="str">
            <v>8092</v>
          </cell>
          <cell r="G950" t="str">
            <v>Office</v>
          </cell>
          <cell r="H950" t="str">
            <v>NA</v>
          </cell>
        </row>
        <row r="951">
          <cell r="A951" t="str">
            <v>8093</v>
          </cell>
          <cell r="B951" t="str">
            <v>Office</v>
          </cell>
          <cell r="C951" t="str">
            <v>NA</v>
          </cell>
          <cell r="F951" t="str">
            <v>8093</v>
          </cell>
          <cell r="G951" t="str">
            <v>Office</v>
          </cell>
          <cell r="H951" t="str">
            <v>NA</v>
          </cell>
        </row>
        <row r="952">
          <cell r="A952" t="str">
            <v>8099</v>
          </cell>
          <cell r="B952" t="str">
            <v>Office</v>
          </cell>
          <cell r="C952">
            <v>6</v>
          </cell>
          <cell r="F952" t="str">
            <v>8099</v>
          </cell>
          <cell r="G952" t="str">
            <v>Office</v>
          </cell>
          <cell r="H952">
            <v>8</v>
          </cell>
        </row>
        <row r="953">
          <cell r="A953" t="str">
            <v>8111</v>
          </cell>
          <cell r="B953" t="str">
            <v>Office</v>
          </cell>
          <cell r="C953">
            <v>3</v>
          </cell>
          <cell r="F953" t="str">
            <v>8111</v>
          </cell>
          <cell r="G953" t="str">
            <v>Office</v>
          </cell>
          <cell r="H953">
            <v>3</v>
          </cell>
        </row>
        <row r="954">
          <cell r="A954" t="str">
            <v>8211</v>
          </cell>
          <cell r="B954" t="str">
            <v>Services</v>
          </cell>
          <cell r="C954" t="str">
            <v>NA</v>
          </cell>
          <cell r="F954" t="str">
            <v>8211</v>
          </cell>
          <cell r="G954" t="str">
            <v>Services</v>
          </cell>
          <cell r="H954" t="str">
            <v>NA</v>
          </cell>
        </row>
        <row r="955">
          <cell r="A955" t="str">
            <v>8221</v>
          </cell>
          <cell r="B955" t="str">
            <v>Services</v>
          </cell>
          <cell r="C955" t="str">
            <v>NA</v>
          </cell>
          <cell r="F955" t="str">
            <v>8221</v>
          </cell>
          <cell r="G955" t="str">
            <v>Services</v>
          </cell>
          <cell r="H955" t="str">
            <v>NA</v>
          </cell>
        </row>
        <row r="956">
          <cell r="A956" t="str">
            <v>8222</v>
          </cell>
          <cell r="B956" t="str">
            <v>Services</v>
          </cell>
          <cell r="C956" t="str">
            <v>NA</v>
          </cell>
          <cell r="F956" t="str">
            <v>8222</v>
          </cell>
          <cell r="G956" t="str">
            <v>Services</v>
          </cell>
          <cell r="H956" t="str">
            <v>NA</v>
          </cell>
        </row>
        <row r="957">
          <cell r="A957" t="str">
            <v>8231</v>
          </cell>
          <cell r="B957" t="str">
            <v>Services</v>
          </cell>
          <cell r="C957" t="str">
            <v>NA</v>
          </cell>
          <cell r="F957" t="str">
            <v>8231</v>
          </cell>
          <cell r="G957" t="str">
            <v>Services</v>
          </cell>
          <cell r="H957" t="str">
            <v>NA</v>
          </cell>
        </row>
        <row r="958">
          <cell r="A958" t="str">
            <v>8243</v>
          </cell>
          <cell r="B958" t="str">
            <v>Services</v>
          </cell>
          <cell r="C958" t="str">
            <v>NA</v>
          </cell>
          <cell r="F958" t="str">
            <v>8243</v>
          </cell>
          <cell r="G958" t="str">
            <v>Services</v>
          </cell>
          <cell r="H958" t="str">
            <v>NA</v>
          </cell>
        </row>
        <row r="959">
          <cell r="A959" t="str">
            <v>8244</v>
          </cell>
          <cell r="B959" t="str">
            <v>Services</v>
          </cell>
          <cell r="C959" t="str">
            <v>NA</v>
          </cell>
          <cell r="F959" t="str">
            <v>8244</v>
          </cell>
          <cell r="G959" t="str">
            <v>Services</v>
          </cell>
          <cell r="H959" t="str">
            <v>NA</v>
          </cell>
        </row>
        <row r="960">
          <cell r="A960" t="str">
            <v>8249</v>
          </cell>
          <cell r="B960" t="str">
            <v>Services</v>
          </cell>
          <cell r="C960" t="str">
            <v>NA</v>
          </cell>
          <cell r="F960" t="str">
            <v>8249</v>
          </cell>
          <cell r="G960" t="str">
            <v>Services</v>
          </cell>
          <cell r="H960" t="str">
            <v>NA</v>
          </cell>
        </row>
        <row r="961">
          <cell r="A961" t="str">
            <v>8299</v>
          </cell>
          <cell r="B961" t="str">
            <v>Services</v>
          </cell>
          <cell r="C961">
            <v>6</v>
          </cell>
          <cell r="F961" t="str">
            <v>8299</v>
          </cell>
          <cell r="G961" t="str">
            <v>Services</v>
          </cell>
          <cell r="H961">
            <v>5</v>
          </cell>
        </row>
        <row r="962">
          <cell r="A962" t="str">
            <v>8322</v>
          </cell>
          <cell r="B962" t="str">
            <v>Services</v>
          </cell>
          <cell r="C962">
            <v>4</v>
          </cell>
          <cell r="F962" t="str">
            <v>8322</v>
          </cell>
          <cell r="G962" t="str">
            <v>Services</v>
          </cell>
          <cell r="H962">
            <v>8</v>
          </cell>
        </row>
        <row r="963">
          <cell r="A963" t="str">
            <v>8331</v>
          </cell>
          <cell r="B963" t="str">
            <v>Services</v>
          </cell>
          <cell r="C963">
            <v>4</v>
          </cell>
          <cell r="F963" t="str">
            <v>8331</v>
          </cell>
          <cell r="G963" t="str">
            <v>Services</v>
          </cell>
          <cell r="H963">
            <v>7</v>
          </cell>
        </row>
        <row r="964">
          <cell r="A964" t="str">
            <v>8351</v>
          </cell>
          <cell r="B964" t="str">
            <v>Services</v>
          </cell>
          <cell r="C964" t="str">
            <v>NA</v>
          </cell>
          <cell r="F964" t="str">
            <v>8351</v>
          </cell>
          <cell r="G964" t="str">
            <v>Services</v>
          </cell>
          <cell r="H964" t="str">
            <v>NA</v>
          </cell>
        </row>
        <row r="965">
          <cell r="A965" t="str">
            <v>8361</v>
          </cell>
          <cell r="B965" t="str">
            <v>Services</v>
          </cell>
          <cell r="C965" t="str">
            <v>NA</v>
          </cell>
          <cell r="F965" t="str">
            <v>8361</v>
          </cell>
          <cell r="G965" t="str">
            <v>Services</v>
          </cell>
          <cell r="H965" t="str">
            <v>NA</v>
          </cell>
        </row>
        <row r="966">
          <cell r="A966" t="str">
            <v>8399</v>
          </cell>
          <cell r="B966" t="str">
            <v>Services</v>
          </cell>
          <cell r="C966">
            <v>5</v>
          </cell>
          <cell r="F966" t="str">
            <v>8399</v>
          </cell>
          <cell r="G966" t="str">
            <v>Services</v>
          </cell>
          <cell r="H966">
            <v>5</v>
          </cell>
        </row>
        <row r="967">
          <cell r="A967" t="str">
            <v>8412</v>
          </cell>
          <cell r="B967" t="str">
            <v>Services</v>
          </cell>
          <cell r="C967" t="str">
            <v>NA</v>
          </cell>
          <cell r="F967" t="str">
            <v>8412</v>
          </cell>
          <cell r="G967" t="str">
            <v>Services</v>
          </cell>
          <cell r="H967" t="str">
            <v>NA</v>
          </cell>
        </row>
        <row r="968">
          <cell r="A968" t="str">
            <v>8422</v>
          </cell>
          <cell r="B968" t="str">
            <v>Services</v>
          </cell>
          <cell r="C968" t="str">
            <v>NA</v>
          </cell>
          <cell r="F968" t="str">
            <v>8422</v>
          </cell>
          <cell r="G968" t="str">
            <v>Services</v>
          </cell>
          <cell r="H968" t="str">
            <v>NA</v>
          </cell>
        </row>
        <row r="969">
          <cell r="A969" t="str">
            <v>8611</v>
          </cell>
          <cell r="B969" t="str">
            <v>Services</v>
          </cell>
          <cell r="C969">
            <v>3</v>
          </cell>
          <cell r="F969" t="str">
            <v>8611</v>
          </cell>
          <cell r="G969" t="str">
            <v>Services</v>
          </cell>
          <cell r="H969">
            <v>6</v>
          </cell>
        </row>
        <row r="970">
          <cell r="A970" t="str">
            <v>8621</v>
          </cell>
          <cell r="B970" t="str">
            <v>Services</v>
          </cell>
          <cell r="C970">
            <v>3</v>
          </cell>
          <cell r="F970" t="str">
            <v>8621</v>
          </cell>
          <cell r="G970" t="str">
            <v>Services</v>
          </cell>
          <cell r="H970">
            <v>6</v>
          </cell>
        </row>
        <row r="971">
          <cell r="A971" t="str">
            <v>8631</v>
          </cell>
          <cell r="B971" t="str">
            <v>Services</v>
          </cell>
          <cell r="C971">
            <v>3</v>
          </cell>
          <cell r="F971" t="str">
            <v>8631</v>
          </cell>
          <cell r="G971" t="str">
            <v>Services</v>
          </cell>
          <cell r="H971">
            <v>8</v>
          </cell>
        </row>
        <row r="972">
          <cell r="A972" t="str">
            <v>8641</v>
          </cell>
          <cell r="B972" t="str">
            <v>Services</v>
          </cell>
          <cell r="C972">
            <v>3</v>
          </cell>
          <cell r="F972" t="str">
            <v>8641</v>
          </cell>
          <cell r="G972" t="str">
            <v>Services</v>
          </cell>
          <cell r="H972">
            <v>8</v>
          </cell>
        </row>
        <row r="973">
          <cell r="A973" t="str">
            <v>8651</v>
          </cell>
          <cell r="B973" t="str">
            <v>Services</v>
          </cell>
          <cell r="C973">
            <v>3</v>
          </cell>
          <cell r="F973" t="str">
            <v>8651</v>
          </cell>
          <cell r="G973" t="str">
            <v>Services</v>
          </cell>
          <cell r="H973">
            <v>8</v>
          </cell>
        </row>
        <row r="974">
          <cell r="A974" t="str">
            <v>8661</v>
          </cell>
          <cell r="B974" t="str">
            <v>Services</v>
          </cell>
          <cell r="C974" t="str">
            <v>NA</v>
          </cell>
          <cell r="F974" t="str">
            <v>8661</v>
          </cell>
          <cell r="G974" t="str">
            <v>Services</v>
          </cell>
          <cell r="H974" t="str">
            <v>NA</v>
          </cell>
        </row>
        <row r="975">
          <cell r="A975" t="str">
            <v>8699</v>
          </cell>
          <cell r="B975" t="str">
            <v>Services</v>
          </cell>
          <cell r="C975">
            <v>5</v>
          </cell>
          <cell r="F975" t="str">
            <v>8699</v>
          </cell>
          <cell r="G975" t="str">
            <v>Services</v>
          </cell>
          <cell r="H975">
            <v>5</v>
          </cell>
        </row>
        <row r="976">
          <cell r="A976" t="str">
            <v>8711</v>
          </cell>
          <cell r="B976" t="str">
            <v>Services</v>
          </cell>
          <cell r="C976">
            <v>3</v>
          </cell>
          <cell r="F976" t="str">
            <v>8711</v>
          </cell>
          <cell r="G976" t="str">
            <v>Services</v>
          </cell>
          <cell r="H976">
            <v>6</v>
          </cell>
        </row>
        <row r="977">
          <cell r="A977" t="str">
            <v>8712</v>
          </cell>
          <cell r="B977" t="str">
            <v>Services</v>
          </cell>
          <cell r="C977">
            <v>3</v>
          </cell>
          <cell r="F977" t="str">
            <v>8712</v>
          </cell>
          <cell r="G977" t="str">
            <v>Services</v>
          </cell>
          <cell r="H977">
            <v>7</v>
          </cell>
        </row>
        <row r="978">
          <cell r="A978" t="str">
            <v>8713</v>
          </cell>
          <cell r="B978" t="str">
            <v>Services</v>
          </cell>
          <cell r="C978">
            <v>3</v>
          </cell>
          <cell r="F978" t="str">
            <v>8713</v>
          </cell>
          <cell r="G978" t="str">
            <v>Services</v>
          </cell>
          <cell r="H978">
            <v>4</v>
          </cell>
        </row>
        <row r="979">
          <cell r="A979" t="str">
            <v>8721</v>
          </cell>
          <cell r="B979" t="str">
            <v>Office</v>
          </cell>
          <cell r="C979">
            <v>2</v>
          </cell>
          <cell r="F979" t="str">
            <v>8721</v>
          </cell>
          <cell r="G979" t="str">
            <v>Office</v>
          </cell>
          <cell r="H979">
            <v>3</v>
          </cell>
        </row>
        <row r="980">
          <cell r="A980" t="str">
            <v>8731</v>
          </cell>
          <cell r="B980" t="str">
            <v>Services</v>
          </cell>
          <cell r="C980">
            <v>4</v>
          </cell>
          <cell r="F980" t="str">
            <v>8731</v>
          </cell>
          <cell r="G980" t="str">
            <v>Services</v>
          </cell>
          <cell r="H980">
            <v>5</v>
          </cell>
        </row>
        <row r="981">
          <cell r="A981" t="str">
            <v>8732</v>
          </cell>
          <cell r="B981" t="str">
            <v>Services</v>
          </cell>
          <cell r="C981">
            <v>4</v>
          </cell>
          <cell r="F981" t="str">
            <v>8732</v>
          </cell>
          <cell r="G981" t="str">
            <v>Services</v>
          </cell>
          <cell r="H981">
            <v>4</v>
          </cell>
        </row>
        <row r="982">
          <cell r="A982" t="str">
            <v>8733</v>
          </cell>
          <cell r="B982" t="str">
            <v>Services</v>
          </cell>
          <cell r="C982">
            <v>4</v>
          </cell>
          <cell r="F982" t="str">
            <v>8733</v>
          </cell>
          <cell r="G982" t="str">
            <v>Services</v>
          </cell>
          <cell r="H982">
            <v>7</v>
          </cell>
        </row>
        <row r="983">
          <cell r="A983" t="str">
            <v>8734</v>
          </cell>
          <cell r="B983" t="str">
            <v>Services</v>
          </cell>
          <cell r="C983">
            <v>8</v>
          </cell>
          <cell r="F983" t="str">
            <v>8734</v>
          </cell>
          <cell r="G983" t="str">
            <v>Services</v>
          </cell>
          <cell r="H983">
            <v>7</v>
          </cell>
        </row>
        <row r="984">
          <cell r="A984" t="str">
            <v>8741</v>
          </cell>
          <cell r="B984" t="str">
            <v>Services</v>
          </cell>
          <cell r="C984">
            <v>4</v>
          </cell>
          <cell r="F984" t="str">
            <v>8741</v>
          </cell>
          <cell r="G984" t="str">
            <v>Services</v>
          </cell>
          <cell r="H984">
            <v>5</v>
          </cell>
        </row>
        <row r="985">
          <cell r="A985" t="str">
            <v>8742</v>
          </cell>
          <cell r="B985" t="str">
            <v>Services</v>
          </cell>
          <cell r="C985">
            <v>3</v>
          </cell>
          <cell r="F985" t="str">
            <v>8742</v>
          </cell>
          <cell r="G985" t="str">
            <v>Services</v>
          </cell>
          <cell r="H985">
            <v>5</v>
          </cell>
        </row>
        <row r="986">
          <cell r="A986" t="str">
            <v>8743</v>
          </cell>
          <cell r="B986" t="str">
            <v>Services</v>
          </cell>
          <cell r="C986">
            <v>3</v>
          </cell>
          <cell r="F986" t="str">
            <v>8743</v>
          </cell>
          <cell r="G986" t="str">
            <v>Services</v>
          </cell>
          <cell r="H986">
            <v>5</v>
          </cell>
        </row>
        <row r="987">
          <cell r="A987" t="str">
            <v>8744</v>
          </cell>
          <cell r="B987" t="str">
            <v>Services</v>
          </cell>
          <cell r="C987">
            <v>7</v>
          </cell>
          <cell r="F987" t="str">
            <v>8744</v>
          </cell>
          <cell r="G987" t="str">
            <v>Services</v>
          </cell>
          <cell r="H987">
            <v>9</v>
          </cell>
        </row>
        <row r="988">
          <cell r="A988" t="str">
            <v>8748</v>
          </cell>
          <cell r="B988" t="str">
            <v>Services</v>
          </cell>
          <cell r="C988">
            <v>3</v>
          </cell>
          <cell r="F988" t="str">
            <v>8748</v>
          </cell>
          <cell r="G988" t="str">
            <v>Services</v>
          </cell>
          <cell r="H988">
            <v>5</v>
          </cell>
        </row>
        <row r="989">
          <cell r="A989" t="str">
            <v>8811</v>
          </cell>
          <cell r="B989" t="str">
            <v>Habitational</v>
          </cell>
          <cell r="C989" t="str">
            <v>NA</v>
          </cell>
          <cell r="F989" t="str">
            <v>8811</v>
          </cell>
          <cell r="G989" t="str">
            <v>Habitational</v>
          </cell>
          <cell r="H989" t="str">
            <v>NA</v>
          </cell>
        </row>
        <row r="990">
          <cell r="A990" t="str">
            <v>8999</v>
          </cell>
          <cell r="B990" t="str">
            <v>Services</v>
          </cell>
          <cell r="C990">
            <v>5</v>
          </cell>
          <cell r="F990" t="str">
            <v>8999</v>
          </cell>
          <cell r="G990" t="str">
            <v>Services</v>
          </cell>
          <cell r="H990">
            <v>5</v>
          </cell>
        </row>
        <row r="991">
          <cell r="A991" t="str">
            <v>9111</v>
          </cell>
          <cell r="B991" t="str">
            <v>Services</v>
          </cell>
          <cell r="C991" t="str">
            <v>NA</v>
          </cell>
          <cell r="F991" t="str">
            <v>9111</v>
          </cell>
          <cell r="G991" t="str">
            <v>Services</v>
          </cell>
          <cell r="H991" t="str">
            <v>NA</v>
          </cell>
        </row>
        <row r="992">
          <cell r="A992" t="str">
            <v>9121</v>
          </cell>
          <cell r="B992" t="str">
            <v>Services</v>
          </cell>
          <cell r="C992" t="str">
            <v>NA</v>
          </cell>
          <cell r="F992" t="str">
            <v>9121</v>
          </cell>
          <cell r="G992" t="str">
            <v>Services</v>
          </cell>
          <cell r="H992" t="str">
            <v>NA</v>
          </cell>
        </row>
        <row r="993">
          <cell r="A993" t="str">
            <v>9131</v>
          </cell>
          <cell r="B993" t="str">
            <v>Services</v>
          </cell>
          <cell r="C993" t="str">
            <v>NA</v>
          </cell>
          <cell r="F993" t="str">
            <v>9131</v>
          </cell>
          <cell r="G993" t="str">
            <v>Services</v>
          </cell>
          <cell r="H993" t="str">
            <v>NA</v>
          </cell>
        </row>
        <row r="994">
          <cell r="A994" t="str">
            <v>9199</v>
          </cell>
          <cell r="B994" t="str">
            <v>Services</v>
          </cell>
          <cell r="C994" t="str">
            <v>NA</v>
          </cell>
          <cell r="F994" t="str">
            <v>9199</v>
          </cell>
          <cell r="G994" t="str">
            <v>Services</v>
          </cell>
          <cell r="H994" t="str">
            <v>NA</v>
          </cell>
        </row>
        <row r="995">
          <cell r="A995" t="str">
            <v>9211</v>
          </cell>
          <cell r="B995" t="str">
            <v>Services</v>
          </cell>
          <cell r="C995" t="str">
            <v>NA</v>
          </cell>
          <cell r="F995" t="str">
            <v>9211</v>
          </cell>
          <cell r="G995" t="str">
            <v>Services</v>
          </cell>
          <cell r="H995" t="str">
            <v>NA</v>
          </cell>
        </row>
        <row r="996">
          <cell r="A996" t="str">
            <v>9221</v>
          </cell>
          <cell r="B996" t="str">
            <v>Services</v>
          </cell>
          <cell r="C996" t="str">
            <v>NA</v>
          </cell>
          <cell r="F996" t="str">
            <v>9221</v>
          </cell>
          <cell r="G996" t="str">
            <v>Services</v>
          </cell>
          <cell r="H996" t="str">
            <v>NA</v>
          </cell>
        </row>
        <row r="997">
          <cell r="A997" t="str">
            <v>9222</v>
          </cell>
          <cell r="B997" t="str">
            <v>Services</v>
          </cell>
          <cell r="C997" t="str">
            <v>NA</v>
          </cell>
          <cell r="F997" t="str">
            <v>9222</v>
          </cell>
          <cell r="G997" t="str">
            <v>Services</v>
          </cell>
          <cell r="H997" t="str">
            <v>NA</v>
          </cell>
        </row>
        <row r="998">
          <cell r="A998" t="str">
            <v>9223</v>
          </cell>
          <cell r="B998" t="str">
            <v>Services</v>
          </cell>
          <cell r="C998" t="str">
            <v>NA</v>
          </cell>
          <cell r="F998" t="str">
            <v>9223</v>
          </cell>
          <cell r="G998" t="str">
            <v>Services</v>
          </cell>
          <cell r="H998" t="str">
            <v>NA</v>
          </cell>
        </row>
        <row r="999">
          <cell r="A999" t="str">
            <v>9224</v>
          </cell>
          <cell r="B999" t="str">
            <v>Services</v>
          </cell>
          <cell r="C999" t="str">
            <v>NA</v>
          </cell>
          <cell r="F999" t="str">
            <v>9224</v>
          </cell>
          <cell r="G999" t="str">
            <v>Services</v>
          </cell>
          <cell r="H999" t="str">
            <v>NA</v>
          </cell>
        </row>
        <row r="1000">
          <cell r="A1000" t="str">
            <v>9229</v>
          </cell>
          <cell r="B1000" t="str">
            <v>Services</v>
          </cell>
          <cell r="C1000" t="str">
            <v>NA</v>
          </cell>
          <cell r="F1000" t="str">
            <v>9229</v>
          </cell>
          <cell r="G1000" t="str">
            <v>Services</v>
          </cell>
          <cell r="H1000" t="str">
            <v>NA</v>
          </cell>
        </row>
        <row r="1001">
          <cell r="A1001" t="str">
            <v>9311</v>
          </cell>
          <cell r="B1001" t="str">
            <v>Services</v>
          </cell>
          <cell r="C1001" t="str">
            <v>NA</v>
          </cell>
          <cell r="F1001" t="str">
            <v>9311</v>
          </cell>
          <cell r="G1001" t="str">
            <v>Services</v>
          </cell>
          <cell r="H1001" t="str">
            <v>NA</v>
          </cell>
        </row>
        <row r="1002">
          <cell r="A1002" t="str">
            <v>9411</v>
          </cell>
          <cell r="B1002" t="str">
            <v>Services</v>
          </cell>
          <cell r="C1002" t="str">
            <v>NA</v>
          </cell>
          <cell r="F1002" t="str">
            <v>9411</v>
          </cell>
          <cell r="G1002" t="str">
            <v>Services</v>
          </cell>
          <cell r="H1002" t="str">
            <v>NA</v>
          </cell>
        </row>
        <row r="1003">
          <cell r="A1003" t="str">
            <v>9431</v>
          </cell>
          <cell r="B1003" t="str">
            <v>Services</v>
          </cell>
          <cell r="C1003" t="str">
            <v>NA</v>
          </cell>
          <cell r="F1003" t="str">
            <v>9431</v>
          </cell>
          <cell r="G1003" t="str">
            <v>Services</v>
          </cell>
          <cell r="H1003" t="str">
            <v>NA</v>
          </cell>
        </row>
        <row r="1004">
          <cell r="A1004" t="str">
            <v>9441</v>
          </cell>
          <cell r="B1004" t="str">
            <v>Services</v>
          </cell>
          <cell r="C1004" t="str">
            <v>NA</v>
          </cell>
          <cell r="F1004" t="str">
            <v>9441</v>
          </cell>
          <cell r="G1004" t="str">
            <v>Services</v>
          </cell>
          <cell r="H1004" t="str">
            <v>NA</v>
          </cell>
        </row>
        <row r="1005">
          <cell r="A1005" t="str">
            <v>9451</v>
          </cell>
          <cell r="B1005" t="str">
            <v>Services</v>
          </cell>
          <cell r="C1005" t="str">
            <v>NA</v>
          </cell>
          <cell r="F1005" t="str">
            <v>9451</v>
          </cell>
          <cell r="G1005" t="str">
            <v>Services</v>
          </cell>
          <cell r="H1005" t="str">
            <v>NA</v>
          </cell>
        </row>
        <row r="1006">
          <cell r="A1006" t="str">
            <v>9511</v>
          </cell>
          <cell r="B1006" t="str">
            <v>Services</v>
          </cell>
          <cell r="C1006" t="str">
            <v>NA</v>
          </cell>
          <cell r="F1006" t="str">
            <v>9511</v>
          </cell>
          <cell r="G1006" t="str">
            <v>Services</v>
          </cell>
          <cell r="H1006" t="str">
            <v>NA</v>
          </cell>
        </row>
        <row r="1007">
          <cell r="A1007" t="str">
            <v>9512</v>
          </cell>
          <cell r="B1007" t="str">
            <v>Services</v>
          </cell>
          <cell r="C1007" t="str">
            <v>NA</v>
          </cell>
          <cell r="F1007" t="str">
            <v>9512</v>
          </cell>
          <cell r="G1007" t="str">
            <v>Services</v>
          </cell>
          <cell r="H1007" t="str">
            <v>NA</v>
          </cell>
        </row>
        <row r="1008">
          <cell r="A1008" t="str">
            <v>9531</v>
          </cell>
          <cell r="B1008" t="str">
            <v>Services</v>
          </cell>
          <cell r="C1008" t="str">
            <v>NA</v>
          </cell>
          <cell r="F1008" t="str">
            <v>9531</v>
          </cell>
          <cell r="G1008" t="str">
            <v>Services</v>
          </cell>
          <cell r="H1008" t="str">
            <v>NA</v>
          </cell>
        </row>
        <row r="1009">
          <cell r="A1009" t="str">
            <v>9532</v>
          </cell>
          <cell r="B1009" t="str">
            <v>Services</v>
          </cell>
          <cell r="C1009" t="str">
            <v>NA</v>
          </cell>
          <cell r="F1009" t="str">
            <v>9532</v>
          </cell>
          <cell r="G1009" t="str">
            <v>Services</v>
          </cell>
          <cell r="H1009" t="str">
            <v>NA</v>
          </cell>
        </row>
        <row r="1010">
          <cell r="A1010" t="str">
            <v>9611</v>
          </cell>
          <cell r="B1010" t="str">
            <v>Services</v>
          </cell>
          <cell r="C1010" t="str">
            <v>NA</v>
          </cell>
          <cell r="F1010" t="str">
            <v>9611</v>
          </cell>
          <cell r="G1010" t="str">
            <v>Services</v>
          </cell>
          <cell r="H1010" t="str">
            <v>NA</v>
          </cell>
        </row>
        <row r="1011">
          <cell r="A1011" t="str">
            <v>9621</v>
          </cell>
          <cell r="B1011" t="str">
            <v>Services</v>
          </cell>
          <cell r="C1011" t="str">
            <v>NA</v>
          </cell>
          <cell r="F1011" t="str">
            <v>9621</v>
          </cell>
          <cell r="G1011" t="str">
            <v>Services</v>
          </cell>
          <cell r="H1011" t="str">
            <v>NA</v>
          </cell>
        </row>
        <row r="1012">
          <cell r="A1012" t="str">
            <v>9631</v>
          </cell>
          <cell r="B1012" t="str">
            <v>Services</v>
          </cell>
          <cell r="C1012" t="str">
            <v>NA</v>
          </cell>
          <cell r="F1012" t="str">
            <v>9631</v>
          </cell>
          <cell r="G1012" t="str">
            <v>Services</v>
          </cell>
          <cell r="H1012" t="str">
            <v>NA</v>
          </cell>
        </row>
        <row r="1013">
          <cell r="A1013" t="str">
            <v>9641</v>
          </cell>
          <cell r="B1013" t="str">
            <v>Services</v>
          </cell>
          <cell r="C1013" t="str">
            <v>NA</v>
          </cell>
          <cell r="F1013" t="str">
            <v>9641</v>
          </cell>
          <cell r="G1013" t="str">
            <v>Services</v>
          </cell>
          <cell r="H1013" t="str">
            <v>NA</v>
          </cell>
        </row>
        <row r="1014">
          <cell r="A1014" t="str">
            <v>9651</v>
          </cell>
          <cell r="B1014" t="str">
            <v>Services</v>
          </cell>
          <cell r="C1014" t="str">
            <v>NA</v>
          </cell>
          <cell r="F1014" t="str">
            <v>9651</v>
          </cell>
          <cell r="G1014" t="str">
            <v>Services</v>
          </cell>
          <cell r="H1014" t="str">
            <v>NA</v>
          </cell>
        </row>
        <row r="1015">
          <cell r="A1015" t="str">
            <v>9661</v>
          </cell>
          <cell r="B1015" t="str">
            <v>Services</v>
          </cell>
          <cell r="C1015" t="str">
            <v>NA</v>
          </cell>
          <cell r="F1015" t="str">
            <v>9661</v>
          </cell>
          <cell r="G1015" t="str">
            <v>Services</v>
          </cell>
          <cell r="H1015" t="str">
            <v>NA</v>
          </cell>
        </row>
        <row r="1016">
          <cell r="A1016" t="str">
            <v>9711</v>
          </cell>
          <cell r="B1016" t="str">
            <v>Services</v>
          </cell>
          <cell r="C1016" t="str">
            <v>NA</v>
          </cell>
          <cell r="F1016" t="str">
            <v>9711</v>
          </cell>
          <cell r="G1016" t="str">
            <v>Services</v>
          </cell>
          <cell r="H1016" t="str">
            <v>NA</v>
          </cell>
        </row>
        <row r="1017">
          <cell r="A1017" t="str">
            <v>9721</v>
          </cell>
          <cell r="B1017" t="str">
            <v>Services</v>
          </cell>
          <cell r="C1017" t="str">
            <v>NA</v>
          </cell>
          <cell r="F1017" t="str">
            <v>9721</v>
          </cell>
          <cell r="G1017" t="str">
            <v>Services</v>
          </cell>
          <cell r="H1017" t="str">
            <v>NA</v>
          </cell>
        </row>
        <row r="1018">
          <cell r="A1018" t="str">
            <v>9801</v>
          </cell>
          <cell r="B1018" t="str">
            <v>Services</v>
          </cell>
          <cell r="C1018" t="str">
            <v>NA</v>
          </cell>
          <cell r="F1018" t="str">
            <v>9801</v>
          </cell>
          <cell r="G1018" t="str">
            <v>Services</v>
          </cell>
          <cell r="H1018" t="str">
            <v>NA</v>
          </cell>
        </row>
        <row r="1019">
          <cell r="A1019" t="str">
            <v>9812</v>
          </cell>
          <cell r="B1019" t="str">
            <v>Services</v>
          </cell>
          <cell r="C1019" t="str">
            <v>NA</v>
          </cell>
          <cell r="F1019" t="str">
            <v>9812</v>
          </cell>
          <cell r="G1019" t="str">
            <v>Services</v>
          </cell>
          <cell r="H1019" t="str">
            <v>NA</v>
          </cell>
        </row>
        <row r="1020">
          <cell r="A1020" t="str">
            <v>9813</v>
          </cell>
          <cell r="B1020" t="str">
            <v>Services</v>
          </cell>
          <cell r="C1020" t="str">
            <v>NA</v>
          </cell>
          <cell r="F1020" t="str">
            <v>9813</v>
          </cell>
          <cell r="G1020" t="str">
            <v>Services</v>
          </cell>
          <cell r="H1020" t="str">
            <v>NA</v>
          </cell>
        </row>
        <row r="1021">
          <cell r="A1021" t="str">
            <v>9814</v>
          </cell>
          <cell r="B1021" t="str">
            <v>Services</v>
          </cell>
          <cell r="C1021" t="str">
            <v>NA</v>
          </cell>
          <cell r="F1021" t="str">
            <v>9814</v>
          </cell>
          <cell r="G1021" t="str">
            <v>Services</v>
          </cell>
          <cell r="H1021" t="str">
            <v>NA</v>
          </cell>
        </row>
        <row r="1022">
          <cell r="A1022" t="str">
            <v>99</v>
          </cell>
          <cell r="B1022" t="str">
            <v>Services</v>
          </cell>
          <cell r="C1022" t="str">
            <v>NA</v>
          </cell>
          <cell r="F1022" t="str">
            <v>99</v>
          </cell>
          <cell r="G1022" t="str">
            <v>Services</v>
          </cell>
          <cell r="H1022" t="str">
            <v>NA</v>
          </cell>
        </row>
      </sheetData>
      <sheetData sheetId="14">
        <row r="7">
          <cell r="L7" t="str">
            <v>31 to 70</v>
          </cell>
          <cell r="M7">
            <v>1.1000000000000001</v>
          </cell>
        </row>
        <row r="8">
          <cell r="G8">
            <v>300</v>
          </cell>
          <cell r="I8">
            <v>95</v>
          </cell>
          <cell r="L8" t="str">
            <v>71 to 90</v>
          </cell>
          <cell r="M8">
            <v>0.95</v>
          </cell>
        </row>
        <row r="9">
          <cell r="G9">
            <v>500</v>
          </cell>
          <cell r="I9">
            <v>200</v>
          </cell>
          <cell r="L9" t="str">
            <v>91 to 100</v>
          </cell>
          <cell r="M9">
            <v>0.85</v>
          </cell>
        </row>
        <row r="10">
          <cell r="G10">
            <v>1000</v>
          </cell>
          <cell r="I10">
            <v>300</v>
          </cell>
          <cell r="L10" t="str">
            <v>Below 30</v>
          </cell>
          <cell r="M10">
            <v>1.2</v>
          </cell>
        </row>
        <row r="11">
          <cell r="G11">
            <v>2000</v>
          </cell>
          <cell r="I11">
            <v>400</v>
          </cell>
          <cell r="L11" t="str">
            <v>New Venture or N/A</v>
          </cell>
          <cell r="M11">
            <v>1</v>
          </cell>
        </row>
        <row r="13">
          <cell r="B13" t="str">
            <v>Zone 1</v>
          </cell>
          <cell r="C13" t="e">
            <v>#N/A</v>
          </cell>
        </row>
        <row r="14">
          <cell r="B14" t="str">
            <v>Zone 2</v>
          </cell>
          <cell r="C14" t="e">
            <v>#N/A</v>
          </cell>
        </row>
        <row r="15">
          <cell r="B15" t="str">
            <v>Zone 3</v>
          </cell>
          <cell r="C15">
            <v>0.4</v>
          </cell>
        </row>
        <row r="16">
          <cell r="B16" t="str">
            <v>Zone 4</v>
          </cell>
          <cell r="C16">
            <v>0.2</v>
          </cell>
          <cell r="L16" t="str">
            <v>Exclude</v>
          </cell>
          <cell r="M16">
            <v>0.7</v>
          </cell>
        </row>
        <row r="17">
          <cell r="B17" t="str">
            <v>Zone 5</v>
          </cell>
          <cell r="C17">
            <v>0.1</v>
          </cell>
          <cell r="L17" t="str">
            <v>No Exclusion</v>
          </cell>
          <cell r="M17">
            <v>1</v>
          </cell>
        </row>
        <row r="33">
          <cell r="G33">
            <v>300</v>
          </cell>
          <cell r="I33">
            <v>62</v>
          </cell>
        </row>
        <row r="34">
          <cell r="G34">
            <v>500</v>
          </cell>
          <cell r="I34">
            <v>83</v>
          </cell>
        </row>
        <row r="35">
          <cell r="G35">
            <v>1000</v>
          </cell>
          <cell r="I35">
            <v>138</v>
          </cell>
        </row>
        <row r="36">
          <cell r="G36">
            <v>2000</v>
          </cell>
          <cell r="I36">
            <v>192</v>
          </cell>
        </row>
        <row r="56">
          <cell r="L56">
            <v>0</v>
          </cell>
          <cell r="M56">
            <v>1</v>
          </cell>
        </row>
        <row r="57">
          <cell r="L57">
            <v>250000</v>
          </cell>
          <cell r="M57">
            <v>0.97499999999999998</v>
          </cell>
        </row>
        <row r="58">
          <cell r="L58">
            <v>500000</v>
          </cell>
          <cell r="M58">
            <v>0.95</v>
          </cell>
        </row>
        <row r="59">
          <cell r="L59">
            <v>750000</v>
          </cell>
          <cell r="M59">
            <v>0.92500000000000004</v>
          </cell>
        </row>
        <row r="60">
          <cell r="L60">
            <v>1000000</v>
          </cell>
          <cell r="M60">
            <v>0.9</v>
          </cell>
        </row>
        <row r="61">
          <cell r="L61">
            <v>2000000</v>
          </cell>
          <cell r="M61">
            <v>0.8</v>
          </cell>
        </row>
        <row r="62">
          <cell r="L62">
            <v>3000000</v>
          </cell>
          <cell r="M62">
            <v>0.72499999999999998</v>
          </cell>
        </row>
        <row r="63">
          <cell r="L63">
            <v>4000000</v>
          </cell>
          <cell r="M63">
            <v>0.67500000000000004</v>
          </cell>
        </row>
        <row r="64">
          <cell r="L64">
            <v>5000000</v>
          </cell>
          <cell r="M64">
            <v>0.65</v>
          </cell>
        </row>
        <row r="70">
          <cell r="L70">
            <v>0</v>
          </cell>
          <cell r="M70">
            <v>1</v>
          </cell>
        </row>
        <row r="71">
          <cell r="B71">
            <v>100000</v>
          </cell>
          <cell r="D71">
            <v>0.05</v>
          </cell>
          <cell r="L71">
            <v>250000</v>
          </cell>
          <cell r="M71">
            <v>0.97499999999999998</v>
          </cell>
        </row>
        <row r="72">
          <cell r="B72">
            <v>200000</v>
          </cell>
          <cell r="D72">
            <v>0.04</v>
          </cell>
          <cell r="L72">
            <v>500000</v>
          </cell>
          <cell r="M72">
            <v>0.95</v>
          </cell>
        </row>
        <row r="73">
          <cell r="B73">
            <v>300000</v>
          </cell>
          <cell r="D73">
            <v>0.03</v>
          </cell>
          <cell r="L73">
            <v>750000</v>
          </cell>
          <cell r="M73">
            <v>0.92500000000000004</v>
          </cell>
        </row>
        <row r="74">
          <cell r="B74">
            <v>400000</v>
          </cell>
          <cell r="D74">
            <v>1.9999999999999997E-2</v>
          </cell>
          <cell r="L74">
            <v>1000000</v>
          </cell>
          <cell r="M74">
            <v>0.9</v>
          </cell>
        </row>
        <row r="75">
          <cell r="B75">
            <v>500000</v>
          </cell>
          <cell r="D75">
            <v>9.9999999999999967E-3</v>
          </cell>
          <cell r="L75">
            <v>2000000</v>
          </cell>
          <cell r="M75">
            <v>0.8</v>
          </cell>
        </row>
        <row r="76">
          <cell r="L76">
            <v>3000000</v>
          </cell>
          <cell r="M76">
            <v>0.72499999999999998</v>
          </cell>
        </row>
        <row r="77">
          <cell r="L77">
            <v>4000000</v>
          </cell>
          <cell r="M77">
            <v>0.67500000000000004</v>
          </cell>
        </row>
        <row r="78">
          <cell r="L78">
            <v>5000000</v>
          </cell>
          <cell r="M78">
            <v>0.65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005-9B83-41EA-B15B-E007F10BA949}">
  <dimension ref="A1:B10"/>
  <sheetViews>
    <sheetView workbookViewId="0">
      <selection activeCell="B6" sqref="B6"/>
    </sheetView>
  </sheetViews>
  <sheetFormatPr defaultRowHeight="14.4" x14ac:dyDescent="0.3"/>
  <cols>
    <col min="1" max="1" width="15" bestFit="1" customWidth="1"/>
    <col min="2" max="2" width="58.44140625" bestFit="1" customWidth="1"/>
  </cols>
  <sheetData>
    <row r="1" spans="1:2" x14ac:dyDescent="0.3">
      <c r="A1" s="28" t="s">
        <v>68</v>
      </c>
      <c r="B1" s="28" t="s">
        <v>87</v>
      </c>
    </row>
    <row r="2" spans="1:2" x14ac:dyDescent="0.3">
      <c r="A2" s="28" t="s">
        <v>69</v>
      </c>
      <c r="B2" s="28" t="s">
        <v>88</v>
      </c>
    </row>
    <row r="3" spans="1:2" x14ac:dyDescent="0.3">
      <c r="A3" s="28" t="s">
        <v>70</v>
      </c>
      <c r="B3" s="28" t="s">
        <v>71</v>
      </c>
    </row>
    <row r="4" spans="1:2" x14ac:dyDescent="0.3">
      <c r="A4" s="28" t="s">
        <v>72</v>
      </c>
      <c r="B4" s="28" t="s">
        <v>73</v>
      </c>
    </row>
    <row r="5" spans="1:2" x14ac:dyDescent="0.3">
      <c r="A5" s="28" t="s">
        <v>74</v>
      </c>
      <c r="B5" s="28" t="s">
        <v>75</v>
      </c>
    </row>
    <row r="6" spans="1:2" x14ac:dyDescent="0.3">
      <c r="A6" s="28" t="s">
        <v>76</v>
      </c>
      <c r="B6" s="28" t="s">
        <v>80</v>
      </c>
    </row>
    <row r="7" spans="1:2" x14ac:dyDescent="0.3">
      <c r="A7" s="28" t="s">
        <v>83</v>
      </c>
      <c r="B7" s="28" t="s">
        <v>89</v>
      </c>
    </row>
    <row r="8" spans="1:2" x14ac:dyDescent="0.3">
      <c r="A8" s="28" t="s">
        <v>84</v>
      </c>
      <c r="B8" s="28" t="s">
        <v>90</v>
      </c>
    </row>
    <row r="9" spans="1:2" x14ac:dyDescent="0.3">
      <c r="A9" s="28" t="s">
        <v>85</v>
      </c>
      <c r="B9" s="28" t="s">
        <v>91</v>
      </c>
    </row>
    <row r="10" spans="1:2" x14ac:dyDescent="0.3">
      <c r="A10" s="28" t="s">
        <v>86</v>
      </c>
      <c r="B10" s="28" t="s">
        <v>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DB69-E24C-4C12-B254-6132EB5BA9F4}">
  <dimension ref="A1:B6"/>
  <sheetViews>
    <sheetView workbookViewId="0">
      <selection activeCell="D11" sqref="D11"/>
    </sheetView>
  </sheetViews>
  <sheetFormatPr defaultRowHeight="14.4" x14ac:dyDescent="0.3"/>
  <cols>
    <col min="1" max="1" width="15.88671875" customWidth="1"/>
    <col min="2" max="2" width="10.109375" bestFit="1" customWidth="1"/>
  </cols>
  <sheetData>
    <row r="1" spans="1:2" x14ac:dyDescent="0.3">
      <c r="A1" s="28" t="s">
        <v>81</v>
      </c>
      <c r="B1" s="28" t="s">
        <v>82</v>
      </c>
    </row>
    <row r="2" spans="1:2" x14ac:dyDescent="0.3">
      <c r="A2" s="29">
        <v>1000000</v>
      </c>
      <c r="B2" s="30">
        <v>100</v>
      </c>
    </row>
    <row r="3" spans="1:2" x14ac:dyDescent="0.3">
      <c r="A3" s="29">
        <v>2000000</v>
      </c>
      <c r="B3" s="30">
        <v>200</v>
      </c>
    </row>
    <row r="4" spans="1:2" x14ac:dyDescent="0.3">
      <c r="A4" s="29">
        <v>3000000</v>
      </c>
      <c r="B4" s="30">
        <v>300</v>
      </c>
    </row>
    <row r="5" spans="1:2" x14ac:dyDescent="0.3">
      <c r="A5" s="29">
        <v>4000000</v>
      </c>
      <c r="B5" s="30">
        <v>400</v>
      </c>
    </row>
    <row r="6" spans="1:2" x14ac:dyDescent="0.3">
      <c r="A6" s="29">
        <v>5000000</v>
      </c>
      <c r="B6" s="30">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D1D1-E2ED-41EC-8115-E8E81B943565}">
  <dimension ref="A1:B8"/>
  <sheetViews>
    <sheetView workbookViewId="0">
      <selection activeCell="B18" sqref="B18"/>
    </sheetView>
  </sheetViews>
  <sheetFormatPr defaultRowHeight="14.4" x14ac:dyDescent="0.3"/>
  <cols>
    <col min="1" max="1" width="20.5546875" customWidth="1"/>
    <col min="2" max="2" width="35.109375" customWidth="1"/>
  </cols>
  <sheetData>
    <row r="1" spans="1:2" ht="16.2" thickBot="1" x14ac:dyDescent="0.35">
      <c r="A1" s="31" t="s">
        <v>33</v>
      </c>
      <c r="B1" s="31"/>
    </row>
    <row r="2" spans="1:2" x14ac:dyDescent="0.3">
      <c r="A2" s="20"/>
      <c r="B2" s="19"/>
    </row>
    <row r="3" spans="1:2" ht="15" thickBot="1" x14ac:dyDescent="0.35">
      <c r="A3" s="2" t="s">
        <v>0</v>
      </c>
      <c r="B3" s="18" t="s">
        <v>79</v>
      </c>
    </row>
    <row r="4" spans="1:2" x14ac:dyDescent="0.3">
      <c r="A4" s="4" t="s">
        <v>29</v>
      </c>
      <c r="B4" s="3">
        <v>1.28</v>
      </c>
    </row>
    <row r="5" spans="1:2" x14ac:dyDescent="0.3">
      <c r="A5" s="4" t="s">
        <v>27</v>
      </c>
      <c r="B5" s="3">
        <v>1</v>
      </c>
    </row>
    <row r="6" spans="1:2" x14ac:dyDescent="0.3">
      <c r="A6" s="4" t="s">
        <v>25</v>
      </c>
      <c r="B6" s="3">
        <v>1.1399999999999999</v>
      </c>
    </row>
    <row r="7" spans="1:2" x14ac:dyDescent="0.3">
      <c r="A7" s="4" t="s">
        <v>23</v>
      </c>
      <c r="B7" s="3">
        <v>1.28</v>
      </c>
    </row>
    <row r="8" spans="1:2" ht="15" thickBot="1" x14ac:dyDescent="0.35">
      <c r="A8" s="2" t="s">
        <v>21</v>
      </c>
      <c r="B8" s="1">
        <v>1.28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E1E9-6AE1-4ED4-99CA-2C02240AF489}">
  <dimension ref="A1:B7"/>
  <sheetViews>
    <sheetView workbookViewId="0">
      <selection activeCell="E8" sqref="E8"/>
    </sheetView>
  </sheetViews>
  <sheetFormatPr defaultRowHeight="14.4" x14ac:dyDescent="0.3"/>
  <cols>
    <col min="1" max="1" width="20.6640625" customWidth="1"/>
    <col min="2" max="2" width="16" bestFit="1" customWidth="1"/>
  </cols>
  <sheetData>
    <row r="1" spans="1:2" ht="15" thickBot="1" x14ac:dyDescent="0.35">
      <c r="A1" s="10" t="s">
        <v>67</v>
      </c>
      <c r="B1" s="9"/>
    </row>
    <row r="2" spans="1:2" ht="15" thickBot="1" x14ac:dyDescent="0.35">
      <c r="A2" s="26" t="s">
        <v>2</v>
      </c>
      <c r="B2" s="27" t="s">
        <v>78</v>
      </c>
    </row>
    <row r="3" spans="1:2" x14ac:dyDescent="0.3">
      <c r="A3" s="17" t="s">
        <v>17</v>
      </c>
      <c r="B3" s="16">
        <v>1.1000000000000001</v>
      </c>
    </row>
    <row r="4" spans="1:2" x14ac:dyDescent="0.3">
      <c r="A4" s="15" t="s">
        <v>15</v>
      </c>
      <c r="B4" s="7">
        <v>0.95</v>
      </c>
    </row>
    <row r="5" spans="1:2" x14ac:dyDescent="0.3">
      <c r="A5" s="15" t="s">
        <v>1</v>
      </c>
      <c r="B5" s="7">
        <v>0.85</v>
      </c>
    </row>
    <row r="6" spans="1:2" x14ac:dyDescent="0.3">
      <c r="A6" s="8" t="s">
        <v>12</v>
      </c>
      <c r="B6" s="7">
        <v>1.2</v>
      </c>
    </row>
    <row r="7" spans="1:2" ht="15" thickBot="1" x14ac:dyDescent="0.35">
      <c r="A7" s="6" t="s">
        <v>10</v>
      </c>
      <c r="B7"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A03E-D14D-43D5-82FE-8EDF22E99D2F}">
  <dimension ref="A1:B54"/>
  <sheetViews>
    <sheetView workbookViewId="0">
      <selection activeCell="D9" sqref="D9"/>
    </sheetView>
  </sheetViews>
  <sheetFormatPr defaultRowHeight="14.4" x14ac:dyDescent="0.3"/>
  <cols>
    <col min="1" max="1" width="9.33203125" bestFit="1" customWidth="1"/>
    <col min="2" max="2" width="15.5546875" bestFit="1" customWidth="1"/>
  </cols>
  <sheetData>
    <row r="1" spans="1:2" ht="15.6" x14ac:dyDescent="0.3">
      <c r="A1" s="23" t="s">
        <v>66</v>
      </c>
      <c r="B1" s="24"/>
    </row>
    <row r="2" spans="1:2" ht="15" thickBot="1" x14ac:dyDescent="0.35">
      <c r="A2" s="12" t="s">
        <v>65</v>
      </c>
      <c r="B2" s="25" t="s">
        <v>77</v>
      </c>
    </row>
    <row r="3" spans="1:2" x14ac:dyDescent="0.3">
      <c r="A3" s="22" t="s">
        <v>64</v>
      </c>
      <c r="B3" s="21">
        <v>1</v>
      </c>
    </row>
    <row r="4" spans="1:2" x14ac:dyDescent="0.3">
      <c r="A4" s="14" t="s">
        <v>63</v>
      </c>
      <c r="B4" s="13">
        <v>1.1000000000000001</v>
      </c>
    </row>
    <row r="5" spans="1:2" x14ac:dyDescent="0.3">
      <c r="A5" s="14" t="s">
        <v>62</v>
      </c>
      <c r="B5" s="13">
        <v>1</v>
      </c>
    </row>
    <row r="6" spans="1:2" x14ac:dyDescent="0.3">
      <c r="A6" s="14" t="s">
        <v>61</v>
      </c>
      <c r="B6" s="13">
        <v>1</v>
      </c>
    </row>
    <row r="7" spans="1:2" x14ac:dyDescent="0.3">
      <c r="A7" s="14" t="s">
        <v>60</v>
      </c>
      <c r="B7" s="13">
        <v>1.2</v>
      </c>
    </row>
    <row r="8" spans="1:2" x14ac:dyDescent="0.3">
      <c r="A8" s="14" t="s">
        <v>59</v>
      </c>
      <c r="B8" s="13">
        <v>1</v>
      </c>
    </row>
    <row r="9" spans="1:2" x14ac:dyDescent="0.3">
      <c r="A9" s="14" t="s">
        <v>58</v>
      </c>
      <c r="B9" s="13">
        <v>1</v>
      </c>
    </row>
    <row r="10" spans="1:2" x14ac:dyDescent="0.3">
      <c r="A10" s="14" t="s">
        <v>57</v>
      </c>
      <c r="B10" s="13">
        <v>1</v>
      </c>
    </row>
    <row r="11" spans="1:2" x14ac:dyDescent="0.3">
      <c r="A11" s="14" t="s">
        <v>56</v>
      </c>
      <c r="B11" s="13">
        <v>1</v>
      </c>
    </row>
    <row r="12" spans="1:2" x14ac:dyDescent="0.3">
      <c r="A12" s="14" t="s">
        <v>55</v>
      </c>
      <c r="B12" s="13">
        <v>1.1000000000000001</v>
      </c>
    </row>
    <row r="13" spans="1:2" x14ac:dyDescent="0.3">
      <c r="A13" s="14" t="s">
        <v>54</v>
      </c>
      <c r="B13" s="13">
        <v>1</v>
      </c>
    </row>
    <row r="14" spans="1:2" x14ac:dyDescent="0.3">
      <c r="A14" s="14" t="s">
        <v>53</v>
      </c>
      <c r="B14" s="13">
        <v>1.2</v>
      </c>
    </row>
    <row r="15" spans="1:2" x14ac:dyDescent="0.3">
      <c r="A15" s="14" t="s">
        <v>52</v>
      </c>
      <c r="B15" s="13">
        <v>1</v>
      </c>
    </row>
    <row r="16" spans="1:2" x14ac:dyDescent="0.3">
      <c r="A16" s="14" t="s">
        <v>51</v>
      </c>
      <c r="B16" s="13">
        <v>1</v>
      </c>
    </row>
    <row r="17" spans="1:2" x14ac:dyDescent="0.3">
      <c r="A17" s="14" t="s">
        <v>50</v>
      </c>
      <c r="B17" s="13">
        <v>1.1000000000000001</v>
      </c>
    </row>
    <row r="18" spans="1:2" x14ac:dyDescent="0.3">
      <c r="A18" s="14" t="s">
        <v>49</v>
      </c>
      <c r="B18" s="13">
        <v>1</v>
      </c>
    </row>
    <row r="19" spans="1:2" x14ac:dyDescent="0.3">
      <c r="A19" s="14" t="s">
        <v>48</v>
      </c>
      <c r="B19" s="13">
        <v>1</v>
      </c>
    </row>
    <row r="20" spans="1:2" x14ac:dyDescent="0.3">
      <c r="A20" s="14" t="s">
        <v>47</v>
      </c>
      <c r="B20" s="13">
        <v>1</v>
      </c>
    </row>
    <row r="21" spans="1:2" x14ac:dyDescent="0.3">
      <c r="A21" s="14" t="s">
        <v>46</v>
      </c>
      <c r="B21" s="13">
        <v>1</v>
      </c>
    </row>
    <row r="22" spans="1:2" x14ac:dyDescent="0.3">
      <c r="A22" s="14" t="s">
        <v>45</v>
      </c>
      <c r="B22" s="13">
        <v>1</v>
      </c>
    </row>
    <row r="23" spans="1:2" x14ac:dyDescent="0.3">
      <c r="A23" s="14" t="s">
        <v>44</v>
      </c>
      <c r="B23" s="13">
        <v>1</v>
      </c>
    </row>
    <row r="24" spans="1:2" x14ac:dyDescent="0.3">
      <c r="A24" s="14" t="s">
        <v>43</v>
      </c>
      <c r="B24" s="13">
        <v>1</v>
      </c>
    </row>
    <row r="25" spans="1:2" x14ac:dyDescent="0.3">
      <c r="A25" s="14" t="s">
        <v>42</v>
      </c>
      <c r="B25" s="13">
        <v>1</v>
      </c>
    </row>
    <row r="26" spans="1:2" x14ac:dyDescent="0.3">
      <c r="A26" s="14" t="s">
        <v>41</v>
      </c>
      <c r="B26" s="13">
        <v>1</v>
      </c>
    </row>
    <row r="27" spans="1:2" x14ac:dyDescent="0.3">
      <c r="A27" s="14" t="s">
        <v>40</v>
      </c>
      <c r="B27" s="13">
        <v>1</v>
      </c>
    </row>
    <row r="28" spans="1:2" x14ac:dyDescent="0.3">
      <c r="A28" s="14" t="s">
        <v>39</v>
      </c>
      <c r="B28" s="13">
        <v>1</v>
      </c>
    </row>
    <row r="29" spans="1:2" x14ac:dyDescent="0.3">
      <c r="A29" s="14" t="s">
        <v>38</v>
      </c>
      <c r="B29" s="13">
        <v>1</v>
      </c>
    </row>
    <row r="30" spans="1:2" x14ac:dyDescent="0.3">
      <c r="A30" s="14" t="s">
        <v>37</v>
      </c>
      <c r="B30" s="13">
        <v>1</v>
      </c>
    </row>
    <row r="31" spans="1:2" x14ac:dyDescent="0.3">
      <c r="A31" s="14" t="s">
        <v>36</v>
      </c>
      <c r="B31" s="13">
        <v>1</v>
      </c>
    </row>
    <row r="32" spans="1:2" x14ac:dyDescent="0.3">
      <c r="A32" s="14" t="s">
        <v>35</v>
      </c>
      <c r="B32" s="13">
        <v>1</v>
      </c>
    </row>
    <row r="33" spans="1:2" x14ac:dyDescent="0.3">
      <c r="A33" s="14" t="s">
        <v>34</v>
      </c>
      <c r="B33" s="13">
        <v>1</v>
      </c>
    </row>
    <row r="34" spans="1:2" x14ac:dyDescent="0.3">
      <c r="A34" s="14" t="s">
        <v>32</v>
      </c>
      <c r="B34" s="13">
        <v>1.1000000000000001</v>
      </c>
    </row>
    <row r="35" spans="1:2" x14ac:dyDescent="0.3">
      <c r="A35" s="14" t="s">
        <v>31</v>
      </c>
      <c r="B35" s="13">
        <v>1</v>
      </c>
    </row>
    <row r="36" spans="1:2" x14ac:dyDescent="0.3">
      <c r="A36" s="14" t="s">
        <v>30</v>
      </c>
      <c r="B36" s="13">
        <v>1</v>
      </c>
    </row>
    <row r="37" spans="1:2" x14ac:dyDescent="0.3">
      <c r="A37" s="14" t="s">
        <v>28</v>
      </c>
      <c r="B37" s="13">
        <v>1.1000000000000001</v>
      </c>
    </row>
    <row r="38" spans="1:2" x14ac:dyDescent="0.3">
      <c r="A38" s="14" t="s">
        <v>26</v>
      </c>
      <c r="B38" s="13">
        <v>1</v>
      </c>
    </row>
    <row r="39" spans="1:2" x14ac:dyDescent="0.3">
      <c r="A39" s="14" t="s">
        <v>24</v>
      </c>
      <c r="B39" s="13">
        <v>1</v>
      </c>
    </row>
    <row r="40" spans="1:2" x14ac:dyDescent="0.3">
      <c r="A40" s="14" t="s">
        <v>22</v>
      </c>
      <c r="B40" s="13">
        <v>1</v>
      </c>
    </row>
    <row r="41" spans="1:2" x14ac:dyDescent="0.3">
      <c r="A41" s="14" t="s">
        <v>20</v>
      </c>
      <c r="B41" s="13">
        <v>1</v>
      </c>
    </row>
    <row r="42" spans="1:2" x14ac:dyDescent="0.3">
      <c r="A42" s="14" t="s">
        <v>19</v>
      </c>
      <c r="B42" s="13">
        <v>1</v>
      </c>
    </row>
    <row r="43" spans="1:2" x14ac:dyDescent="0.3">
      <c r="A43" s="14" t="s">
        <v>18</v>
      </c>
      <c r="B43" s="13">
        <v>1</v>
      </c>
    </row>
    <row r="44" spans="1:2" x14ac:dyDescent="0.3">
      <c r="A44" s="14" t="s">
        <v>16</v>
      </c>
      <c r="B44" s="13">
        <v>1</v>
      </c>
    </row>
    <row r="45" spans="1:2" x14ac:dyDescent="0.3">
      <c r="A45" s="14" t="s">
        <v>14</v>
      </c>
      <c r="B45" s="13">
        <v>1</v>
      </c>
    </row>
    <row r="46" spans="1:2" x14ac:dyDescent="0.3">
      <c r="A46" s="14" t="s">
        <v>13</v>
      </c>
      <c r="B46" s="13">
        <v>1</v>
      </c>
    </row>
    <row r="47" spans="1:2" x14ac:dyDescent="0.3">
      <c r="A47" s="14" t="s">
        <v>11</v>
      </c>
      <c r="B47" s="13">
        <v>1.2</v>
      </c>
    </row>
    <row r="48" spans="1:2" x14ac:dyDescent="0.3">
      <c r="A48" s="14" t="s">
        <v>9</v>
      </c>
      <c r="B48" s="13">
        <v>1</v>
      </c>
    </row>
    <row r="49" spans="1:2" x14ac:dyDescent="0.3">
      <c r="A49" s="14" t="s">
        <v>8</v>
      </c>
      <c r="B49" s="13">
        <v>1</v>
      </c>
    </row>
    <row r="50" spans="1:2" x14ac:dyDescent="0.3">
      <c r="A50" s="14" t="s">
        <v>7</v>
      </c>
      <c r="B50" s="13">
        <v>1</v>
      </c>
    </row>
    <row r="51" spans="1:2" x14ac:dyDescent="0.3">
      <c r="A51" s="14" t="s">
        <v>6</v>
      </c>
      <c r="B51" s="13">
        <v>1</v>
      </c>
    </row>
    <row r="52" spans="1:2" x14ac:dyDescent="0.3">
      <c r="A52" s="14" t="s">
        <v>5</v>
      </c>
      <c r="B52" s="13">
        <v>1</v>
      </c>
    </row>
    <row r="53" spans="1:2" x14ac:dyDescent="0.3">
      <c r="A53" s="14" t="s">
        <v>4</v>
      </c>
      <c r="B53" s="13">
        <v>1</v>
      </c>
    </row>
    <row r="54" spans="1:2" ht="15" thickBot="1" x14ac:dyDescent="0.35">
      <c r="A54" s="12" t="s">
        <v>3</v>
      </c>
      <c r="B54" s="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0946-1C9E-4AC6-85C9-EF565FF82B7C}">
  <dimension ref="A1:T146"/>
  <sheetViews>
    <sheetView tabSelected="1" workbookViewId="0">
      <selection activeCell="E14" sqref="E14"/>
    </sheetView>
  </sheetViews>
  <sheetFormatPr defaultRowHeight="13.2" x14ac:dyDescent="0.25"/>
  <cols>
    <col min="1" max="1" width="45" style="34" customWidth="1"/>
    <col min="2" max="2" width="19.33203125" style="34" customWidth="1"/>
    <col min="3" max="3" width="19.44140625" style="34" customWidth="1"/>
    <col min="4" max="4" width="20.33203125" style="34" customWidth="1"/>
    <col min="5" max="5" width="18.6640625" style="34" customWidth="1"/>
    <col min="6" max="6" width="4" style="34" customWidth="1"/>
    <col min="7" max="7" width="12.5546875" style="34" customWidth="1"/>
    <col min="8" max="8" width="38" style="34" bestFit="1" customWidth="1"/>
    <col min="9" max="9" width="29.21875" style="35" bestFit="1" customWidth="1"/>
    <col min="10" max="10" width="11" style="34" customWidth="1"/>
    <col min="11" max="11" width="10.6640625" style="34" customWidth="1"/>
    <col min="12" max="12" width="10.5546875" style="34" customWidth="1"/>
    <col min="13" max="13" width="20" style="34" customWidth="1"/>
    <col min="14" max="14" width="23.109375" style="34" customWidth="1"/>
    <col min="15" max="15" width="18.109375" style="34" customWidth="1"/>
    <col min="16" max="16" width="32.44140625" style="34" customWidth="1"/>
    <col min="17" max="18" width="18.109375" style="34" customWidth="1"/>
    <col min="19" max="19" width="19.88671875" style="34" customWidth="1"/>
    <col min="20" max="20" width="19.6640625" style="34" customWidth="1"/>
    <col min="21" max="27" width="18.109375" style="34" customWidth="1"/>
    <col min="28" max="256" width="8.88671875" style="34"/>
    <col min="257" max="257" width="45" style="34" customWidth="1"/>
    <col min="258" max="258" width="19.33203125" style="34" customWidth="1"/>
    <col min="259" max="259" width="19.44140625" style="34" customWidth="1"/>
    <col min="260" max="260" width="20.33203125" style="34" customWidth="1"/>
    <col min="261" max="261" width="18.6640625" style="34" customWidth="1"/>
    <col min="262" max="262" width="4" style="34" customWidth="1"/>
    <col min="263" max="263" width="12.5546875" style="34" customWidth="1"/>
    <col min="264" max="264" width="12.88671875" style="34" customWidth="1"/>
    <col min="265" max="266" width="11" style="34" customWidth="1"/>
    <col min="267" max="267" width="10.6640625" style="34" customWidth="1"/>
    <col min="268" max="268" width="10.5546875" style="34" customWidth="1"/>
    <col min="269" max="269" width="20" style="34" customWidth="1"/>
    <col min="270" max="270" width="23.109375" style="34" customWidth="1"/>
    <col min="271" max="271" width="18.109375" style="34" customWidth="1"/>
    <col min="272" max="272" width="32.44140625" style="34" customWidth="1"/>
    <col min="273" max="274" width="18.109375" style="34" customWidth="1"/>
    <col min="275" max="275" width="19.88671875" style="34" customWidth="1"/>
    <col min="276" max="276" width="19.6640625" style="34" customWidth="1"/>
    <col min="277" max="283" width="18.109375" style="34" customWidth="1"/>
    <col min="284" max="512" width="8.88671875" style="34"/>
    <col min="513" max="513" width="45" style="34" customWidth="1"/>
    <col min="514" max="514" width="19.33203125" style="34" customWidth="1"/>
    <col min="515" max="515" width="19.44140625" style="34" customWidth="1"/>
    <col min="516" max="516" width="20.33203125" style="34" customWidth="1"/>
    <col min="517" max="517" width="18.6640625" style="34" customWidth="1"/>
    <col min="518" max="518" width="4" style="34" customWidth="1"/>
    <col min="519" max="519" width="12.5546875" style="34" customWidth="1"/>
    <col min="520" max="520" width="12.88671875" style="34" customWidth="1"/>
    <col min="521" max="522" width="11" style="34" customWidth="1"/>
    <col min="523" max="523" width="10.6640625" style="34" customWidth="1"/>
    <col min="524" max="524" width="10.5546875" style="34" customWidth="1"/>
    <col min="525" max="525" width="20" style="34" customWidth="1"/>
    <col min="526" max="526" width="23.109375" style="34" customWidth="1"/>
    <col min="527" max="527" width="18.109375" style="34" customWidth="1"/>
    <col min="528" max="528" width="32.44140625" style="34" customWidth="1"/>
    <col min="529" max="530" width="18.109375" style="34" customWidth="1"/>
    <col min="531" max="531" width="19.88671875" style="34" customWidth="1"/>
    <col min="532" max="532" width="19.6640625" style="34" customWidth="1"/>
    <col min="533" max="539" width="18.109375" style="34" customWidth="1"/>
    <col min="540" max="768" width="8.88671875" style="34"/>
    <col min="769" max="769" width="45" style="34" customWidth="1"/>
    <col min="770" max="770" width="19.33203125" style="34" customWidth="1"/>
    <col min="771" max="771" width="19.44140625" style="34" customWidth="1"/>
    <col min="772" max="772" width="20.33203125" style="34" customWidth="1"/>
    <col min="773" max="773" width="18.6640625" style="34" customWidth="1"/>
    <col min="774" max="774" width="4" style="34" customWidth="1"/>
    <col min="775" max="775" width="12.5546875" style="34" customWidth="1"/>
    <col min="776" max="776" width="12.88671875" style="34" customWidth="1"/>
    <col min="777" max="778" width="11" style="34" customWidth="1"/>
    <col min="779" max="779" width="10.6640625" style="34" customWidth="1"/>
    <col min="780" max="780" width="10.5546875" style="34" customWidth="1"/>
    <col min="781" max="781" width="20" style="34" customWidth="1"/>
    <col min="782" max="782" width="23.109375" style="34" customWidth="1"/>
    <col min="783" max="783" width="18.109375" style="34" customWidth="1"/>
    <col min="784" max="784" width="32.44140625" style="34" customWidth="1"/>
    <col min="785" max="786" width="18.109375" style="34" customWidth="1"/>
    <col min="787" max="787" width="19.88671875" style="34" customWidth="1"/>
    <col min="788" max="788" width="19.6640625" style="34" customWidth="1"/>
    <col min="789" max="795" width="18.109375" style="34" customWidth="1"/>
    <col min="796" max="1024" width="8.88671875" style="34"/>
    <col min="1025" max="1025" width="45" style="34" customWidth="1"/>
    <col min="1026" max="1026" width="19.33203125" style="34" customWidth="1"/>
    <col min="1027" max="1027" width="19.44140625" style="34" customWidth="1"/>
    <col min="1028" max="1028" width="20.33203125" style="34" customWidth="1"/>
    <col min="1029" max="1029" width="18.6640625" style="34" customWidth="1"/>
    <col min="1030" max="1030" width="4" style="34" customWidth="1"/>
    <col min="1031" max="1031" width="12.5546875" style="34" customWidth="1"/>
    <col min="1032" max="1032" width="12.88671875" style="34" customWidth="1"/>
    <col min="1033" max="1034" width="11" style="34" customWidth="1"/>
    <col min="1035" max="1035" width="10.6640625" style="34" customWidth="1"/>
    <col min="1036" max="1036" width="10.5546875" style="34" customWidth="1"/>
    <col min="1037" max="1037" width="20" style="34" customWidth="1"/>
    <col min="1038" max="1038" width="23.109375" style="34" customWidth="1"/>
    <col min="1039" max="1039" width="18.109375" style="34" customWidth="1"/>
    <col min="1040" max="1040" width="32.44140625" style="34" customWidth="1"/>
    <col min="1041" max="1042" width="18.109375" style="34" customWidth="1"/>
    <col min="1043" max="1043" width="19.88671875" style="34" customWidth="1"/>
    <col min="1044" max="1044" width="19.6640625" style="34" customWidth="1"/>
    <col min="1045" max="1051" width="18.109375" style="34" customWidth="1"/>
    <col min="1052" max="1280" width="8.88671875" style="34"/>
    <col min="1281" max="1281" width="45" style="34" customWidth="1"/>
    <col min="1282" max="1282" width="19.33203125" style="34" customWidth="1"/>
    <col min="1283" max="1283" width="19.44140625" style="34" customWidth="1"/>
    <col min="1284" max="1284" width="20.33203125" style="34" customWidth="1"/>
    <col min="1285" max="1285" width="18.6640625" style="34" customWidth="1"/>
    <col min="1286" max="1286" width="4" style="34" customWidth="1"/>
    <col min="1287" max="1287" width="12.5546875" style="34" customWidth="1"/>
    <col min="1288" max="1288" width="12.88671875" style="34" customWidth="1"/>
    <col min="1289" max="1290" width="11" style="34" customWidth="1"/>
    <col min="1291" max="1291" width="10.6640625" style="34" customWidth="1"/>
    <col min="1292" max="1292" width="10.5546875" style="34" customWidth="1"/>
    <col min="1293" max="1293" width="20" style="34" customWidth="1"/>
    <col min="1294" max="1294" width="23.109375" style="34" customWidth="1"/>
    <col min="1295" max="1295" width="18.109375" style="34" customWidth="1"/>
    <col min="1296" max="1296" width="32.44140625" style="34" customWidth="1"/>
    <col min="1297" max="1298" width="18.109375" style="34" customWidth="1"/>
    <col min="1299" max="1299" width="19.88671875" style="34" customWidth="1"/>
    <col min="1300" max="1300" width="19.6640625" style="34" customWidth="1"/>
    <col min="1301" max="1307" width="18.109375" style="34" customWidth="1"/>
    <col min="1308" max="1536" width="8.88671875" style="34"/>
    <col min="1537" max="1537" width="45" style="34" customWidth="1"/>
    <col min="1538" max="1538" width="19.33203125" style="34" customWidth="1"/>
    <col min="1539" max="1539" width="19.44140625" style="34" customWidth="1"/>
    <col min="1540" max="1540" width="20.33203125" style="34" customWidth="1"/>
    <col min="1541" max="1541" width="18.6640625" style="34" customWidth="1"/>
    <col min="1542" max="1542" width="4" style="34" customWidth="1"/>
    <col min="1543" max="1543" width="12.5546875" style="34" customWidth="1"/>
    <col min="1544" max="1544" width="12.88671875" style="34" customWidth="1"/>
    <col min="1545" max="1546" width="11" style="34" customWidth="1"/>
    <col min="1547" max="1547" width="10.6640625" style="34" customWidth="1"/>
    <col min="1548" max="1548" width="10.5546875" style="34" customWidth="1"/>
    <col min="1549" max="1549" width="20" style="34" customWidth="1"/>
    <col min="1550" max="1550" width="23.109375" style="34" customWidth="1"/>
    <col min="1551" max="1551" width="18.109375" style="34" customWidth="1"/>
    <col min="1552" max="1552" width="32.44140625" style="34" customWidth="1"/>
    <col min="1553" max="1554" width="18.109375" style="34" customWidth="1"/>
    <col min="1555" max="1555" width="19.88671875" style="34" customWidth="1"/>
    <col min="1556" max="1556" width="19.6640625" style="34" customWidth="1"/>
    <col min="1557" max="1563" width="18.109375" style="34" customWidth="1"/>
    <col min="1564" max="1792" width="8.88671875" style="34"/>
    <col min="1793" max="1793" width="45" style="34" customWidth="1"/>
    <col min="1794" max="1794" width="19.33203125" style="34" customWidth="1"/>
    <col min="1795" max="1795" width="19.44140625" style="34" customWidth="1"/>
    <col min="1796" max="1796" width="20.33203125" style="34" customWidth="1"/>
    <col min="1797" max="1797" width="18.6640625" style="34" customWidth="1"/>
    <col min="1798" max="1798" width="4" style="34" customWidth="1"/>
    <col min="1799" max="1799" width="12.5546875" style="34" customWidth="1"/>
    <col min="1800" max="1800" width="12.88671875" style="34" customWidth="1"/>
    <col min="1801" max="1802" width="11" style="34" customWidth="1"/>
    <col min="1803" max="1803" width="10.6640625" style="34" customWidth="1"/>
    <col min="1804" max="1804" width="10.5546875" style="34" customWidth="1"/>
    <col min="1805" max="1805" width="20" style="34" customWidth="1"/>
    <col min="1806" max="1806" width="23.109375" style="34" customWidth="1"/>
    <col min="1807" max="1807" width="18.109375" style="34" customWidth="1"/>
    <col min="1808" max="1808" width="32.44140625" style="34" customWidth="1"/>
    <col min="1809" max="1810" width="18.109375" style="34" customWidth="1"/>
    <col min="1811" max="1811" width="19.88671875" style="34" customWidth="1"/>
    <col min="1812" max="1812" width="19.6640625" style="34" customWidth="1"/>
    <col min="1813" max="1819" width="18.109375" style="34" customWidth="1"/>
    <col min="1820" max="2048" width="8.88671875" style="34"/>
    <col min="2049" max="2049" width="45" style="34" customWidth="1"/>
    <col min="2050" max="2050" width="19.33203125" style="34" customWidth="1"/>
    <col min="2051" max="2051" width="19.44140625" style="34" customWidth="1"/>
    <col min="2052" max="2052" width="20.33203125" style="34" customWidth="1"/>
    <col min="2053" max="2053" width="18.6640625" style="34" customWidth="1"/>
    <col min="2054" max="2054" width="4" style="34" customWidth="1"/>
    <col min="2055" max="2055" width="12.5546875" style="34" customWidth="1"/>
    <col min="2056" max="2056" width="12.88671875" style="34" customWidth="1"/>
    <col min="2057" max="2058" width="11" style="34" customWidth="1"/>
    <col min="2059" max="2059" width="10.6640625" style="34" customWidth="1"/>
    <col min="2060" max="2060" width="10.5546875" style="34" customWidth="1"/>
    <col min="2061" max="2061" width="20" style="34" customWidth="1"/>
    <col min="2062" max="2062" width="23.109375" style="34" customWidth="1"/>
    <col min="2063" max="2063" width="18.109375" style="34" customWidth="1"/>
    <col min="2064" max="2064" width="32.44140625" style="34" customWidth="1"/>
    <col min="2065" max="2066" width="18.109375" style="34" customWidth="1"/>
    <col min="2067" max="2067" width="19.88671875" style="34" customWidth="1"/>
    <col min="2068" max="2068" width="19.6640625" style="34" customWidth="1"/>
    <col min="2069" max="2075" width="18.109375" style="34" customWidth="1"/>
    <col min="2076" max="2304" width="8.88671875" style="34"/>
    <col min="2305" max="2305" width="45" style="34" customWidth="1"/>
    <col min="2306" max="2306" width="19.33203125" style="34" customWidth="1"/>
    <col min="2307" max="2307" width="19.44140625" style="34" customWidth="1"/>
    <col min="2308" max="2308" width="20.33203125" style="34" customWidth="1"/>
    <col min="2309" max="2309" width="18.6640625" style="34" customWidth="1"/>
    <col min="2310" max="2310" width="4" style="34" customWidth="1"/>
    <col min="2311" max="2311" width="12.5546875" style="34" customWidth="1"/>
    <col min="2312" max="2312" width="12.88671875" style="34" customWidth="1"/>
    <col min="2313" max="2314" width="11" style="34" customWidth="1"/>
    <col min="2315" max="2315" width="10.6640625" style="34" customWidth="1"/>
    <col min="2316" max="2316" width="10.5546875" style="34" customWidth="1"/>
    <col min="2317" max="2317" width="20" style="34" customWidth="1"/>
    <col min="2318" max="2318" width="23.109375" style="34" customWidth="1"/>
    <col min="2319" max="2319" width="18.109375" style="34" customWidth="1"/>
    <col min="2320" max="2320" width="32.44140625" style="34" customWidth="1"/>
    <col min="2321" max="2322" width="18.109375" style="34" customWidth="1"/>
    <col min="2323" max="2323" width="19.88671875" style="34" customWidth="1"/>
    <col min="2324" max="2324" width="19.6640625" style="34" customWidth="1"/>
    <col min="2325" max="2331" width="18.109375" style="34" customWidth="1"/>
    <col min="2332" max="2560" width="8.88671875" style="34"/>
    <col min="2561" max="2561" width="45" style="34" customWidth="1"/>
    <col min="2562" max="2562" width="19.33203125" style="34" customWidth="1"/>
    <col min="2563" max="2563" width="19.44140625" style="34" customWidth="1"/>
    <col min="2564" max="2564" width="20.33203125" style="34" customWidth="1"/>
    <col min="2565" max="2565" width="18.6640625" style="34" customWidth="1"/>
    <col min="2566" max="2566" width="4" style="34" customWidth="1"/>
    <col min="2567" max="2567" width="12.5546875" style="34" customWidth="1"/>
    <col min="2568" max="2568" width="12.88671875" style="34" customWidth="1"/>
    <col min="2569" max="2570" width="11" style="34" customWidth="1"/>
    <col min="2571" max="2571" width="10.6640625" style="34" customWidth="1"/>
    <col min="2572" max="2572" width="10.5546875" style="34" customWidth="1"/>
    <col min="2573" max="2573" width="20" style="34" customWidth="1"/>
    <col min="2574" max="2574" width="23.109375" style="34" customWidth="1"/>
    <col min="2575" max="2575" width="18.109375" style="34" customWidth="1"/>
    <col min="2576" max="2576" width="32.44140625" style="34" customWidth="1"/>
    <col min="2577" max="2578" width="18.109375" style="34" customWidth="1"/>
    <col min="2579" max="2579" width="19.88671875" style="34" customWidth="1"/>
    <col min="2580" max="2580" width="19.6640625" style="34" customWidth="1"/>
    <col min="2581" max="2587" width="18.109375" style="34" customWidth="1"/>
    <col min="2588" max="2816" width="8.88671875" style="34"/>
    <col min="2817" max="2817" width="45" style="34" customWidth="1"/>
    <col min="2818" max="2818" width="19.33203125" style="34" customWidth="1"/>
    <col min="2819" max="2819" width="19.44140625" style="34" customWidth="1"/>
    <col min="2820" max="2820" width="20.33203125" style="34" customWidth="1"/>
    <col min="2821" max="2821" width="18.6640625" style="34" customWidth="1"/>
    <col min="2822" max="2822" width="4" style="34" customWidth="1"/>
    <col min="2823" max="2823" width="12.5546875" style="34" customWidth="1"/>
    <col min="2824" max="2824" width="12.88671875" style="34" customWidth="1"/>
    <col min="2825" max="2826" width="11" style="34" customWidth="1"/>
    <col min="2827" max="2827" width="10.6640625" style="34" customWidth="1"/>
    <col min="2828" max="2828" width="10.5546875" style="34" customWidth="1"/>
    <col min="2829" max="2829" width="20" style="34" customWidth="1"/>
    <col min="2830" max="2830" width="23.109375" style="34" customWidth="1"/>
    <col min="2831" max="2831" width="18.109375" style="34" customWidth="1"/>
    <col min="2832" max="2832" width="32.44140625" style="34" customWidth="1"/>
    <col min="2833" max="2834" width="18.109375" style="34" customWidth="1"/>
    <col min="2835" max="2835" width="19.88671875" style="34" customWidth="1"/>
    <col min="2836" max="2836" width="19.6640625" style="34" customWidth="1"/>
    <col min="2837" max="2843" width="18.109375" style="34" customWidth="1"/>
    <col min="2844" max="3072" width="8.88671875" style="34"/>
    <col min="3073" max="3073" width="45" style="34" customWidth="1"/>
    <col min="3074" max="3074" width="19.33203125" style="34" customWidth="1"/>
    <col min="3075" max="3075" width="19.44140625" style="34" customWidth="1"/>
    <col min="3076" max="3076" width="20.33203125" style="34" customWidth="1"/>
    <col min="3077" max="3077" width="18.6640625" style="34" customWidth="1"/>
    <col min="3078" max="3078" width="4" style="34" customWidth="1"/>
    <col min="3079" max="3079" width="12.5546875" style="34" customWidth="1"/>
    <col min="3080" max="3080" width="12.88671875" style="34" customWidth="1"/>
    <col min="3081" max="3082" width="11" style="34" customWidth="1"/>
    <col min="3083" max="3083" width="10.6640625" style="34" customWidth="1"/>
    <col min="3084" max="3084" width="10.5546875" style="34" customWidth="1"/>
    <col min="3085" max="3085" width="20" style="34" customWidth="1"/>
    <col min="3086" max="3086" width="23.109375" style="34" customWidth="1"/>
    <col min="3087" max="3087" width="18.109375" style="34" customWidth="1"/>
    <col min="3088" max="3088" width="32.44140625" style="34" customWidth="1"/>
    <col min="3089" max="3090" width="18.109375" style="34" customWidth="1"/>
    <col min="3091" max="3091" width="19.88671875" style="34" customWidth="1"/>
    <col min="3092" max="3092" width="19.6640625" style="34" customWidth="1"/>
    <col min="3093" max="3099" width="18.109375" style="34" customWidth="1"/>
    <col min="3100" max="3328" width="8.88671875" style="34"/>
    <col min="3329" max="3329" width="45" style="34" customWidth="1"/>
    <col min="3330" max="3330" width="19.33203125" style="34" customWidth="1"/>
    <col min="3331" max="3331" width="19.44140625" style="34" customWidth="1"/>
    <col min="3332" max="3332" width="20.33203125" style="34" customWidth="1"/>
    <col min="3333" max="3333" width="18.6640625" style="34" customWidth="1"/>
    <col min="3334" max="3334" width="4" style="34" customWidth="1"/>
    <col min="3335" max="3335" width="12.5546875" style="34" customWidth="1"/>
    <col min="3336" max="3336" width="12.88671875" style="34" customWidth="1"/>
    <col min="3337" max="3338" width="11" style="34" customWidth="1"/>
    <col min="3339" max="3339" width="10.6640625" style="34" customWidth="1"/>
    <col min="3340" max="3340" width="10.5546875" style="34" customWidth="1"/>
    <col min="3341" max="3341" width="20" style="34" customWidth="1"/>
    <col min="3342" max="3342" width="23.109375" style="34" customWidth="1"/>
    <col min="3343" max="3343" width="18.109375" style="34" customWidth="1"/>
    <col min="3344" max="3344" width="32.44140625" style="34" customWidth="1"/>
    <col min="3345" max="3346" width="18.109375" style="34" customWidth="1"/>
    <col min="3347" max="3347" width="19.88671875" style="34" customWidth="1"/>
    <col min="3348" max="3348" width="19.6640625" style="34" customWidth="1"/>
    <col min="3349" max="3355" width="18.109375" style="34" customWidth="1"/>
    <col min="3356" max="3584" width="8.88671875" style="34"/>
    <col min="3585" max="3585" width="45" style="34" customWidth="1"/>
    <col min="3586" max="3586" width="19.33203125" style="34" customWidth="1"/>
    <col min="3587" max="3587" width="19.44140625" style="34" customWidth="1"/>
    <col min="3588" max="3588" width="20.33203125" style="34" customWidth="1"/>
    <col min="3589" max="3589" width="18.6640625" style="34" customWidth="1"/>
    <col min="3590" max="3590" width="4" style="34" customWidth="1"/>
    <col min="3591" max="3591" width="12.5546875" style="34" customWidth="1"/>
    <col min="3592" max="3592" width="12.88671875" style="34" customWidth="1"/>
    <col min="3593" max="3594" width="11" style="34" customWidth="1"/>
    <col min="3595" max="3595" width="10.6640625" style="34" customWidth="1"/>
    <col min="3596" max="3596" width="10.5546875" style="34" customWidth="1"/>
    <col min="3597" max="3597" width="20" style="34" customWidth="1"/>
    <col min="3598" max="3598" width="23.109375" style="34" customWidth="1"/>
    <col min="3599" max="3599" width="18.109375" style="34" customWidth="1"/>
    <col min="3600" max="3600" width="32.44140625" style="34" customWidth="1"/>
    <col min="3601" max="3602" width="18.109375" style="34" customWidth="1"/>
    <col min="3603" max="3603" width="19.88671875" style="34" customWidth="1"/>
    <col min="3604" max="3604" width="19.6640625" style="34" customWidth="1"/>
    <col min="3605" max="3611" width="18.109375" style="34" customWidth="1"/>
    <col min="3612" max="3840" width="8.88671875" style="34"/>
    <col min="3841" max="3841" width="45" style="34" customWidth="1"/>
    <col min="3842" max="3842" width="19.33203125" style="34" customWidth="1"/>
    <col min="3843" max="3843" width="19.44140625" style="34" customWidth="1"/>
    <col min="3844" max="3844" width="20.33203125" style="34" customWidth="1"/>
    <col min="3845" max="3845" width="18.6640625" style="34" customWidth="1"/>
    <col min="3846" max="3846" width="4" style="34" customWidth="1"/>
    <col min="3847" max="3847" width="12.5546875" style="34" customWidth="1"/>
    <col min="3848" max="3848" width="12.88671875" style="34" customWidth="1"/>
    <col min="3849" max="3850" width="11" style="34" customWidth="1"/>
    <col min="3851" max="3851" width="10.6640625" style="34" customWidth="1"/>
    <col min="3852" max="3852" width="10.5546875" style="34" customWidth="1"/>
    <col min="3853" max="3853" width="20" style="34" customWidth="1"/>
    <col min="3854" max="3854" width="23.109375" style="34" customWidth="1"/>
    <col min="3855" max="3855" width="18.109375" style="34" customWidth="1"/>
    <col min="3856" max="3856" width="32.44140625" style="34" customWidth="1"/>
    <col min="3857" max="3858" width="18.109375" style="34" customWidth="1"/>
    <col min="3859" max="3859" width="19.88671875" style="34" customWidth="1"/>
    <col min="3860" max="3860" width="19.6640625" style="34" customWidth="1"/>
    <col min="3861" max="3867" width="18.109375" style="34" customWidth="1"/>
    <col min="3868" max="4096" width="8.88671875" style="34"/>
    <col min="4097" max="4097" width="45" style="34" customWidth="1"/>
    <col min="4098" max="4098" width="19.33203125" style="34" customWidth="1"/>
    <col min="4099" max="4099" width="19.44140625" style="34" customWidth="1"/>
    <col min="4100" max="4100" width="20.33203125" style="34" customWidth="1"/>
    <col min="4101" max="4101" width="18.6640625" style="34" customWidth="1"/>
    <col min="4102" max="4102" width="4" style="34" customWidth="1"/>
    <col min="4103" max="4103" width="12.5546875" style="34" customWidth="1"/>
    <col min="4104" max="4104" width="12.88671875" style="34" customWidth="1"/>
    <col min="4105" max="4106" width="11" style="34" customWidth="1"/>
    <col min="4107" max="4107" width="10.6640625" style="34" customWidth="1"/>
    <col min="4108" max="4108" width="10.5546875" style="34" customWidth="1"/>
    <col min="4109" max="4109" width="20" style="34" customWidth="1"/>
    <col min="4110" max="4110" width="23.109375" style="34" customWidth="1"/>
    <col min="4111" max="4111" width="18.109375" style="34" customWidth="1"/>
    <col min="4112" max="4112" width="32.44140625" style="34" customWidth="1"/>
    <col min="4113" max="4114" width="18.109375" style="34" customWidth="1"/>
    <col min="4115" max="4115" width="19.88671875" style="34" customWidth="1"/>
    <col min="4116" max="4116" width="19.6640625" style="34" customWidth="1"/>
    <col min="4117" max="4123" width="18.109375" style="34" customWidth="1"/>
    <col min="4124" max="4352" width="8.88671875" style="34"/>
    <col min="4353" max="4353" width="45" style="34" customWidth="1"/>
    <col min="4354" max="4354" width="19.33203125" style="34" customWidth="1"/>
    <col min="4355" max="4355" width="19.44140625" style="34" customWidth="1"/>
    <col min="4356" max="4356" width="20.33203125" style="34" customWidth="1"/>
    <col min="4357" max="4357" width="18.6640625" style="34" customWidth="1"/>
    <col min="4358" max="4358" width="4" style="34" customWidth="1"/>
    <col min="4359" max="4359" width="12.5546875" style="34" customWidth="1"/>
    <col min="4360" max="4360" width="12.88671875" style="34" customWidth="1"/>
    <col min="4361" max="4362" width="11" style="34" customWidth="1"/>
    <col min="4363" max="4363" width="10.6640625" style="34" customWidth="1"/>
    <col min="4364" max="4364" width="10.5546875" style="34" customWidth="1"/>
    <col min="4365" max="4365" width="20" style="34" customWidth="1"/>
    <col min="4366" max="4366" width="23.109375" style="34" customWidth="1"/>
    <col min="4367" max="4367" width="18.109375" style="34" customWidth="1"/>
    <col min="4368" max="4368" width="32.44140625" style="34" customWidth="1"/>
    <col min="4369" max="4370" width="18.109375" style="34" customWidth="1"/>
    <col min="4371" max="4371" width="19.88671875" style="34" customWidth="1"/>
    <col min="4372" max="4372" width="19.6640625" style="34" customWidth="1"/>
    <col min="4373" max="4379" width="18.109375" style="34" customWidth="1"/>
    <col min="4380" max="4608" width="8.88671875" style="34"/>
    <col min="4609" max="4609" width="45" style="34" customWidth="1"/>
    <col min="4610" max="4610" width="19.33203125" style="34" customWidth="1"/>
    <col min="4611" max="4611" width="19.44140625" style="34" customWidth="1"/>
    <col min="4612" max="4612" width="20.33203125" style="34" customWidth="1"/>
    <col min="4613" max="4613" width="18.6640625" style="34" customWidth="1"/>
    <col min="4614" max="4614" width="4" style="34" customWidth="1"/>
    <col min="4615" max="4615" width="12.5546875" style="34" customWidth="1"/>
    <col min="4616" max="4616" width="12.88671875" style="34" customWidth="1"/>
    <col min="4617" max="4618" width="11" style="34" customWidth="1"/>
    <col min="4619" max="4619" width="10.6640625" style="34" customWidth="1"/>
    <col min="4620" max="4620" width="10.5546875" style="34" customWidth="1"/>
    <col min="4621" max="4621" width="20" style="34" customWidth="1"/>
    <col min="4622" max="4622" width="23.109375" style="34" customWidth="1"/>
    <col min="4623" max="4623" width="18.109375" style="34" customWidth="1"/>
    <col min="4624" max="4624" width="32.44140625" style="34" customWidth="1"/>
    <col min="4625" max="4626" width="18.109375" style="34" customWidth="1"/>
    <col min="4627" max="4627" width="19.88671875" style="34" customWidth="1"/>
    <col min="4628" max="4628" width="19.6640625" style="34" customWidth="1"/>
    <col min="4629" max="4635" width="18.109375" style="34" customWidth="1"/>
    <col min="4636" max="4864" width="8.88671875" style="34"/>
    <col min="4865" max="4865" width="45" style="34" customWidth="1"/>
    <col min="4866" max="4866" width="19.33203125" style="34" customWidth="1"/>
    <col min="4867" max="4867" width="19.44140625" style="34" customWidth="1"/>
    <col min="4868" max="4868" width="20.33203125" style="34" customWidth="1"/>
    <col min="4869" max="4869" width="18.6640625" style="34" customWidth="1"/>
    <col min="4870" max="4870" width="4" style="34" customWidth="1"/>
    <col min="4871" max="4871" width="12.5546875" style="34" customWidth="1"/>
    <col min="4872" max="4872" width="12.88671875" style="34" customWidth="1"/>
    <col min="4873" max="4874" width="11" style="34" customWidth="1"/>
    <col min="4875" max="4875" width="10.6640625" style="34" customWidth="1"/>
    <col min="4876" max="4876" width="10.5546875" style="34" customWidth="1"/>
    <col min="4877" max="4877" width="20" style="34" customWidth="1"/>
    <col min="4878" max="4878" width="23.109375" style="34" customWidth="1"/>
    <col min="4879" max="4879" width="18.109375" style="34" customWidth="1"/>
    <col min="4880" max="4880" width="32.44140625" style="34" customWidth="1"/>
    <col min="4881" max="4882" width="18.109375" style="34" customWidth="1"/>
    <col min="4883" max="4883" width="19.88671875" style="34" customWidth="1"/>
    <col min="4884" max="4884" width="19.6640625" style="34" customWidth="1"/>
    <col min="4885" max="4891" width="18.109375" style="34" customWidth="1"/>
    <col min="4892" max="5120" width="8.88671875" style="34"/>
    <col min="5121" max="5121" width="45" style="34" customWidth="1"/>
    <col min="5122" max="5122" width="19.33203125" style="34" customWidth="1"/>
    <col min="5123" max="5123" width="19.44140625" style="34" customWidth="1"/>
    <col min="5124" max="5124" width="20.33203125" style="34" customWidth="1"/>
    <col min="5125" max="5125" width="18.6640625" style="34" customWidth="1"/>
    <col min="5126" max="5126" width="4" style="34" customWidth="1"/>
    <col min="5127" max="5127" width="12.5546875" style="34" customWidth="1"/>
    <col min="5128" max="5128" width="12.88671875" style="34" customWidth="1"/>
    <col min="5129" max="5130" width="11" style="34" customWidth="1"/>
    <col min="5131" max="5131" width="10.6640625" style="34" customWidth="1"/>
    <col min="5132" max="5132" width="10.5546875" style="34" customWidth="1"/>
    <col min="5133" max="5133" width="20" style="34" customWidth="1"/>
    <col min="5134" max="5134" width="23.109375" style="34" customWidth="1"/>
    <col min="5135" max="5135" width="18.109375" style="34" customWidth="1"/>
    <col min="5136" max="5136" width="32.44140625" style="34" customWidth="1"/>
    <col min="5137" max="5138" width="18.109375" style="34" customWidth="1"/>
    <col min="5139" max="5139" width="19.88671875" style="34" customWidth="1"/>
    <col min="5140" max="5140" width="19.6640625" style="34" customWidth="1"/>
    <col min="5141" max="5147" width="18.109375" style="34" customWidth="1"/>
    <col min="5148" max="5376" width="8.88671875" style="34"/>
    <col min="5377" max="5377" width="45" style="34" customWidth="1"/>
    <col min="5378" max="5378" width="19.33203125" style="34" customWidth="1"/>
    <col min="5379" max="5379" width="19.44140625" style="34" customWidth="1"/>
    <col min="5380" max="5380" width="20.33203125" style="34" customWidth="1"/>
    <col min="5381" max="5381" width="18.6640625" style="34" customWidth="1"/>
    <col min="5382" max="5382" width="4" style="34" customWidth="1"/>
    <col min="5383" max="5383" width="12.5546875" style="34" customWidth="1"/>
    <col min="5384" max="5384" width="12.88671875" style="34" customWidth="1"/>
    <col min="5385" max="5386" width="11" style="34" customWidth="1"/>
    <col min="5387" max="5387" width="10.6640625" style="34" customWidth="1"/>
    <col min="5388" max="5388" width="10.5546875" style="34" customWidth="1"/>
    <col min="5389" max="5389" width="20" style="34" customWidth="1"/>
    <col min="5390" max="5390" width="23.109375" style="34" customWidth="1"/>
    <col min="5391" max="5391" width="18.109375" style="34" customWidth="1"/>
    <col min="5392" max="5392" width="32.44140625" style="34" customWidth="1"/>
    <col min="5393" max="5394" width="18.109375" style="34" customWidth="1"/>
    <col min="5395" max="5395" width="19.88671875" style="34" customWidth="1"/>
    <col min="5396" max="5396" width="19.6640625" style="34" customWidth="1"/>
    <col min="5397" max="5403" width="18.109375" style="34" customWidth="1"/>
    <col min="5404" max="5632" width="8.88671875" style="34"/>
    <col min="5633" max="5633" width="45" style="34" customWidth="1"/>
    <col min="5634" max="5634" width="19.33203125" style="34" customWidth="1"/>
    <col min="5635" max="5635" width="19.44140625" style="34" customWidth="1"/>
    <col min="5636" max="5636" width="20.33203125" style="34" customWidth="1"/>
    <col min="5637" max="5637" width="18.6640625" style="34" customWidth="1"/>
    <col min="5638" max="5638" width="4" style="34" customWidth="1"/>
    <col min="5639" max="5639" width="12.5546875" style="34" customWidth="1"/>
    <col min="5640" max="5640" width="12.88671875" style="34" customWidth="1"/>
    <col min="5641" max="5642" width="11" style="34" customWidth="1"/>
    <col min="5643" max="5643" width="10.6640625" style="34" customWidth="1"/>
    <col min="5644" max="5644" width="10.5546875" style="34" customWidth="1"/>
    <col min="5645" max="5645" width="20" style="34" customWidth="1"/>
    <col min="5646" max="5646" width="23.109375" style="34" customWidth="1"/>
    <col min="5647" max="5647" width="18.109375" style="34" customWidth="1"/>
    <col min="5648" max="5648" width="32.44140625" style="34" customWidth="1"/>
    <col min="5649" max="5650" width="18.109375" style="34" customWidth="1"/>
    <col min="5651" max="5651" width="19.88671875" style="34" customWidth="1"/>
    <col min="5652" max="5652" width="19.6640625" style="34" customWidth="1"/>
    <col min="5653" max="5659" width="18.109375" style="34" customWidth="1"/>
    <col min="5660" max="5888" width="8.88671875" style="34"/>
    <col min="5889" max="5889" width="45" style="34" customWidth="1"/>
    <col min="5890" max="5890" width="19.33203125" style="34" customWidth="1"/>
    <col min="5891" max="5891" width="19.44140625" style="34" customWidth="1"/>
    <col min="5892" max="5892" width="20.33203125" style="34" customWidth="1"/>
    <col min="5893" max="5893" width="18.6640625" style="34" customWidth="1"/>
    <col min="5894" max="5894" width="4" style="34" customWidth="1"/>
    <col min="5895" max="5895" width="12.5546875" style="34" customWidth="1"/>
    <col min="5896" max="5896" width="12.88671875" style="34" customWidth="1"/>
    <col min="5897" max="5898" width="11" style="34" customWidth="1"/>
    <col min="5899" max="5899" width="10.6640625" style="34" customWidth="1"/>
    <col min="5900" max="5900" width="10.5546875" style="34" customWidth="1"/>
    <col min="5901" max="5901" width="20" style="34" customWidth="1"/>
    <col min="5902" max="5902" width="23.109375" style="34" customWidth="1"/>
    <col min="5903" max="5903" width="18.109375" style="34" customWidth="1"/>
    <col min="5904" max="5904" width="32.44140625" style="34" customWidth="1"/>
    <col min="5905" max="5906" width="18.109375" style="34" customWidth="1"/>
    <col min="5907" max="5907" width="19.88671875" style="34" customWidth="1"/>
    <col min="5908" max="5908" width="19.6640625" style="34" customWidth="1"/>
    <col min="5909" max="5915" width="18.109375" style="34" customWidth="1"/>
    <col min="5916" max="6144" width="8.88671875" style="34"/>
    <col min="6145" max="6145" width="45" style="34" customWidth="1"/>
    <col min="6146" max="6146" width="19.33203125" style="34" customWidth="1"/>
    <col min="6147" max="6147" width="19.44140625" style="34" customWidth="1"/>
    <col min="6148" max="6148" width="20.33203125" style="34" customWidth="1"/>
    <col min="6149" max="6149" width="18.6640625" style="34" customWidth="1"/>
    <col min="6150" max="6150" width="4" style="34" customWidth="1"/>
    <col min="6151" max="6151" width="12.5546875" style="34" customWidth="1"/>
    <col min="6152" max="6152" width="12.88671875" style="34" customWidth="1"/>
    <col min="6153" max="6154" width="11" style="34" customWidth="1"/>
    <col min="6155" max="6155" width="10.6640625" style="34" customWidth="1"/>
    <col min="6156" max="6156" width="10.5546875" style="34" customWidth="1"/>
    <col min="6157" max="6157" width="20" style="34" customWidth="1"/>
    <col min="6158" max="6158" width="23.109375" style="34" customWidth="1"/>
    <col min="6159" max="6159" width="18.109375" style="34" customWidth="1"/>
    <col min="6160" max="6160" width="32.44140625" style="34" customWidth="1"/>
    <col min="6161" max="6162" width="18.109375" style="34" customWidth="1"/>
    <col min="6163" max="6163" width="19.88671875" style="34" customWidth="1"/>
    <col min="6164" max="6164" width="19.6640625" style="34" customWidth="1"/>
    <col min="6165" max="6171" width="18.109375" style="34" customWidth="1"/>
    <col min="6172" max="6400" width="8.88671875" style="34"/>
    <col min="6401" max="6401" width="45" style="34" customWidth="1"/>
    <col min="6402" max="6402" width="19.33203125" style="34" customWidth="1"/>
    <col min="6403" max="6403" width="19.44140625" style="34" customWidth="1"/>
    <col min="6404" max="6404" width="20.33203125" style="34" customWidth="1"/>
    <col min="6405" max="6405" width="18.6640625" style="34" customWidth="1"/>
    <col min="6406" max="6406" width="4" style="34" customWidth="1"/>
    <col min="6407" max="6407" width="12.5546875" style="34" customWidth="1"/>
    <col min="6408" max="6408" width="12.88671875" style="34" customWidth="1"/>
    <col min="6409" max="6410" width="11" style="34" customWidth="1"/>
    <col min="6411" max="6411" width="10.6640625" style="34" customWidth="1"/>
    <col min="6412" max="6412" width="10.5546875" style="34" customWidth="1"/>
    <col min="6413" max="6413" width="20" style="34" customWidth="1"/>
    <col min="6414" max="6414" width="23.109375" style="34" customWidth="1"/>
    <col min="6415" max="6415" width="18.109375" style="34" customWidth="1"/>
    <col min="6416" max="6416" width="32.44140625" style="34" customWidth="1"/>
    <col min="6417" max="6418" width="18.109375" style="34" customWidth="1"/>
    <col min="6419" max="6419" width="19.88671875" style="34" customWidth="1"/>
    <col min="6420" max="6420" width="19.6640625" style="34" customWidth="1"/>
    <col min="6421" max="6427" width="18.109375" style="34" customWidth="1"/>
    <col min="6428" max="6656" width="8.88671875" style="34"/>
    <col min="6657" max="6657" width="45" style="34" customWidth="1"/>
    <col min="6658" max="6658" width="19.33203125" style="34" customWidth="1"/>
    <col min="6659" max="6659" width="19.44140625" style="34" customWidth="1"/>
    <col min="6660" max="6660" width="20.33203125" style="34" customWidth="1"/>
    <col min="6661" max="6661" width="18.6640625" style="34" customWidth="1"/>
    <col min="6662" max="6662" width="4" style="34" customWidth="1"/>
    <col min="6663" max="6663" width="12.5546875" style="34" customWidth="1"/>
    <col min="6664" max="6664" width="12.88671875" style="34" customWidth="1"/>
    <col min="6665" max="6666" width="11" style="34" customWidth="1"/>
    <col min="6667" max="6667" width="10.6640625" style="34" customWidth="1"/>
    <col min="6668" max="6668" width="10.5546875" style="34" customWidth="1"/>
    <col min="6669" max="6669" width="20" style="34" customWidth="1"/>
    <col min="6670" max="6670" width="23.109375" style="34" customWidth="1"/>
    <col min="6671" max="6671" width="18.109375" style="34" customWidth="1"/>
    <col min="6672" max="6672" width="32.44140625" style="34" customWidth="1"/>
    <col min="6673" max="6674" width="18.109375" style="34" customWidth="1"/>
    <col min="6675" max="6675" width="19.88671875" style="34" customWidth="1"/>
    <col min="6676" max="6676" width="19.6640625" style="34" customWidth="1"/>
    <col min="6677" max="6683" width="18.109375" style="34" customWidth="1"/>
    <col min="6684" max="6912" width="8.88671875" style="34"/>
    <col min="6913" max="6913" width="45" style="34" customWidth="1"/>
    <col min="6914" max="6914" width="19.33203125" style="34" customWidth="1"/>
    <col min="6915" max="6915" width="19.44140625" style="34" customWidth="1"/>
    <col min="6916" max="6916" width="20.33203125" style="34" customWidth="1"/>
    <col min="6917" max="6917" width="18.6640625" style="34" customWidth="1"/>
    <col min="6918" max="6918" width="4" style="34" customWidth="1"/>
    <col min="6919" max="6919" width="12.5546875" style="34" customWidth="1"/>
    <col min="6920" max="6920" width="12.88671875" style="34" customWidth="1"/>
    <col min="6921" max="6922" width="11" style="34" customWidth="1"/>
    <col min="6923" max="6923" width="10.6640625" style="34" customWidth="1"/>
    <col min="6924" max="6924" width="10.5546875" style="34" customWidth="1"/>
    <col min="6925" max="6925" width="20" style="34" customWidth="1"/>
    <col min="6926" max="6926" width="23.109375" style="34" customWidth="1"/>
    <col min="6927" max="6927" width="18.109375" style="34" customWidth="1"/>
    <col min="6928" max="6928" width="32.44140625" style="34" customWidth="1"/>
    <col min="6929" max="6930" width="18.109375" style="34" customWidth="1"/>
    <col min="6931" max="6931" width="19.88671875" style="34" customWidth="1"/>
    <col min="6932" max="6932" width="19.6640625" style="34" customWidth="1"/>
    <col min="6933" max="6939" width="18.109375" style="34" customWidth="1"/>
    <col min="6940" max="7168" width="8.88671875" style="34"/>
    <col min="7169" max="7169" width="45" style="34" customWidth="1"/>
    <col min="7170" max="7170" width="19.33203125" style="34" customWidth="1"/>
    <col min="7171" max="7171" width="19.44140625" style="34" customWidth="1"/>
    <col min="7172" max="7172" width="20.33203125" style="34" customWidth="1"/>
    <col min="7173" max="7173" width="18.6640625" style="34" customWidth="1"/>
    <col min="7174" max="7174" width="4" style="34" customWidth="1"/>
    <col min="7175" max="7175" width="12.5546875" style="34" customWidth="1"/>
    <col min="7176" max="7176" width="12.88671875" style="34" customWidth="1"/>
    <col min="7177" max="7178" width="11" style="34" customWidth="1"/>
    <col min="7179" max="7179" width="10.6640625" style="34" customWidth="1"/>
    <col min="7180" max="7180" width="10.5546875" style="34" customWidth="1"/>
    <col min="7181" max="7181" width="20" style="34" customWidth="1"/>
    <col min="7182" max="7182" width="23.109375" style="34" customWidth="1"/>
    <col min="7183" max="7183" width="18.109375" style="34" customWidth="1"/>
    <col min="7184" max="7184" width="32.44140625" style="34" customWidth="1"/>
    <col min="7185" max="7186" width="18.109375" style="34" customWidth="1"/>
    <col min="7187" max="7187" width="19.88671875" style="34" customWidth="1"/>
    <col min="7188" max="7188" width="19.6640625" style="34" customWidth="1"/>
    <col min="7189" max="7195" width="18.109375" style="34" customWidth="1"/>
    <col min="7196" max="7424" width="8.88671875" style="34"/>
    <col min="7425" max="7425" width="45" style="34" customWidth="1"/>
    <col min="7426" max="7426" width="19.33203125" style="34" customWidth="1"/>
    <col min="7427" max="7427" width="19.44140625" style="34" customWidth="1"/>
    <col min="7428" max="7428" width="20.33203125" style="34" customWidth="1"/>
    <col min="7429" max="7429" width="18.6640625" style="34" customWidth="1"/>
    <col min="7430" max="7430" width="4" style="34" customWidth="1"/>
    <col min="7431" max="7431" width="12.5546875" style="34" customWidth="1"/>
    <col min="7432" max="7432" width="12.88671875" style="34" customWidth="1"/>
    <col min="7433" max="7434" width="11" style="34" customWidth="1"/>
    <col min="7435" max="7435" width="10.6640625" style="34" customWidth="1"/>
    <col min="7436" max="7436" width="10.5546875" style="34" customWidth="1"/>
    <col min="7437" max="7437" width="20" style="34" customWidth="1"/>
    <col min="7438" max="7438" width="23.109375" style="34" customWidth="1"/>
    <col min="7439" max="7439" width="18.109375" style="34" customWidth="1"/>
    <col min="7440" max="7440" width="32.44140625" style="34" customWidth="1"/>
    <col min="7441" max="7442" width="18.109375" style="34" customWidth="1"/>
    <col min="7443" max="7443" width="19.88671875" style="34" customWidth="1"/>
    <col min="7444" max="7444" width="19.6640625" style="34" customWidth="1"/>
    <col min="7445" max="7451" width="18.109375" style="34" customWidth="1"/>
    <col min="7452" max="7680" width="8.88671875" style="34"/>
    <col min="7681" max="7681" width="45" style="34" customWidth="1"/>
    <col min="7682" max="7682" width="19.33203125" style="34" customWidth="1"/>
    <col min="7683" max="7683" width="19.44140625" style="34" customWidth="1"/>
    <col min="7684" max="7684" width="20.33203125" style="34" customWidth="1"/>
    <col min="7685" max="7685" width="18.6640625" style="34" customWidth="1"/>
    <col min="7686" max="7686" width="4" style="34" customWidth="1"/>
    <col min="7687" max="7687" width="12.5546875" style="34" customWidth="1"/>
    <col min="7688" max="7688" width="12.88671875" style="34" customWidth="1"/>
    <col min="7689" max="7690" width="11" style="34" customWidth="1"/>
    <col min="7691" max="7691" width="10.6640625" style="34" customWidth="1"/>
    <col min="7692" max="7692" width="10.5546875" style="34" customWidth="1"/>
    <col min="7693" max="7693" width="20" style="34" customWidth="1"/>
    <col min="7694" max="7694" width="23.109375" style="34" customWidth="1"/>
    <col min="7695" max="7695" width="18.109375" style="34" customWidth="1"/>
    <col min="7696" max="7696" width="32.44140625" style="34" customWidth="1"/>
    <col min="7697" max="7698" width="18.109375" style="34" customWidth="1"/>
    <col min="7699" max="7699" width="19.88671875" style="34" customWidth="1"/>
    <col min="7700" max="7700" width="19.6640625" style="34" customWidth="1"/>
    <col min="7701" max="7707" width="18.109375" style="34" customWidth="1"/>
    <col min="7708" max="7936" width="8.88671875" style="34"/>
    <col min="7937" max="7937" width="45" style="34" customWidth="1"/>
    <col min="7938" max="7938" width="19.33203125" style="34" customWidth="1"/>
    <col min="7939" max="7939" width="19.44140625" style="34" customWidth="1"/>
    <col min="7940" max="7940" width="20.33203125" style="34" customWidth="1"/>
    <col min="7941" max="7941" width="18.6640625" style="34" customWidth="1"/>
    <col min="7942" max="7942" width="4" style="34" customWidth="1"/>
    <col min="7943" max="7943" width="12.5546875" style="34" customWidth="1"/>
    <col min="7944" max="7944" width="12.88671875" style="34" customWidth="1"/>
    <col min="7945" max="7946" width="11" style="34" customWidth="1"/>
    <col min="7947" max="7947" width="10.6640625" style="34" customWidth="1"/>
    <col min="7948" max="7948" width="10.5546875" style="34" customWidth="1"/>
    <col min="7949" max="7949" width="20" style="34" customWidth="1"/>
    <col min="7950" max="7950" width="23.109375" style="34" customWidth="1"/>
    <col min="7951" max="7951" width="18.109375" style="34" customWidth="1"/>
    <col min="7952" max="7952" width="32.44140625" style="34" customWidth="1"/>
    <col min="7953" max="7954" width="18.109375" style="34" customWidth="1"/>
    <col min="7955" max="7955" width="19.88671875" style="34" customWidth="1"/>
    <col min="7956" max="7956" width="19.6640625" style="34" customWidth="1"/>
    <col min="7957" max="7963" width="18.109375" style="34" customWidth="1"/>
    <col min="7964" max="8192" width="8.88671875" style="34"/>
    <col min="8193" max="8193" width="45" style="34" customWidth="1"/>
    <col min="8194" max="8194" width="19.33203125" style="34" customWidth="1"/>
    <col min="8195" max="8195" width="19.44140625" style="34" customWidth="1"/>
    <col min="8196" max="8196" width="20.33203125" style="34" customWidth="1"/>
    <col min="8197" max="8197" width="18.6640625" style="34" customWidth="1"/>
    <col min="8198" max="8198" width="4" style="34" customWidth="1"/>
    <col min="8199" max="8199" width="12.5546875" style="34" customWidth="1"/>
    <col min="8200" max="8200" width="12.88671875" style="34" customWidth="1"/>
    <col min="8201" max="8202" width="11" style="34" customWidth="1"/>
    <col min="8203" max="8203" width="10.6640625" style="34" customWidth="1"/>
    <col min="8204" max="8204" width="10.5546875" style="34" customWidth="1"/>
    <col min="8205" max="8205" width="20" style="34" customWidth="1"/>
    <col min="8206" max="8206" width="23.109375" style="34" customWidth="1"/>
    <col min="8207" max="8207" width="18.109375" style="34" customWidth="1"/>
    <col min="8208" max="8208" width="32.44140625" style="34" customWidth="1"/>
    <col min="8209" max="8210" width="18.109375" style="34" customWidth="1"/>
    <col min="8211" max="8211" width="19.88671875" style="34" customWidth="1"/>
    <col min="8212" max="8212" width="19.6640625" style="34" customWidth="1"/>
    <col min="8213" max="8219" width="18.109375" style="34" customWidth="1"/>
    <col min="8220" max="8448" width="8.88671875" style="34"/>
    <col min="8449" max="8449" width="45" style="34" customWidth="1"/>
    <col min="8450" max="8450" width="19.33203125" style="34" customWidth="1"/>
    <col min="8451" max="8451" width="19.44140625" style="34" customWidth="1"/>
    <col min="8452" max="8452" width="20.33203125" style="34" customWidth="1"/>
    <col min="8453" max="8453" width="18.6640625" style="34" customWidth="1"/>
    <col min="8454" max="8454" width="4" style="34" customWidth="1"/>
    <col min="8455" max="8455" width="12.5546875" style="34" customWidth="1"/>
    <col min="8456" max="8456" width="12.88671875" style="34" customWidth="1"/>
    <col min="8457" max="8458" width="11" style="34" customWidth="1"/>
    <col min="8459" max="8459" width="10.6640625" style="34" customWidth="1"/>
    <col min="8460" max="8460" width="10.5546875" style="34" customWidth="1"/>
    <col min="8461" max="8461" width="20" style="34" customWidth="1"/>
    <col min="8462" max="8462" width="23.109375" style="34" customWidth="1"/>
    <col min="8463" max="8463" width="18.109375" style="34" customWidth="1"/>
    <col min="8464" max="8464" width="32.44140625" style="34" customWidth="1"/>
    <col min="8465" max="8466" width="18.109375" style="34" customWidth="1"/>
    <col min="8467" max="8467" width="19.88671875" style="34" customWidth="1"/>
    <col min="8468" max="8468" width="19.6640625" style="34" customWidth="1"/>
    <col min="8469" max="8475" width="18.109375" style="34" customWidth="1"/>
    <col min="8476" max="8704" width="8.88671875" style="34"/>
    <col min="8705" max="8705" width="45" style="34" customWidth="1"/>
    <col min="8706" max="8706" width="19.33203125" style="34" customWidth="1"/>
    <col min="8707" max="8707" width="19.44140625" style="34" customWidth="1"/>
    <col min="8708" max="8708" width="20.33203125" style="34" customWidth="1"/>
    <col min="8709" max="8709" width="18.6640625" style="34" customWidth="1"/>
    <col min="8710" max="8710" width="4" style="34" customWidth="1"/>
    <col min="8711" max="8711" width="12.5546875" style="34" customWidth="1"/>
    <col min="8712" max="8712" width="12.88671875" style="34" customWidth="1"/>
    <col min="8713" max="8714" width="11" style="34" customWidth="1"/>
    <col min="8715" max="8715" width="10.6640625" style="34" customWidth="1"/>
    <col min="8716" max="8716" width="10.5546875" style="34" customWidth="1"/>
    <col min="8717" max="8717" width="20" style="34" customWidth="1"/>
    <col min="8718" max="8718" width="23.109375" style="34" customWidth="1"/>
    <col min="8719" max="8719" width="18.109375" style="34" customWidth="1"/>
    <col min="8720" max="8720" width="32.44140625" style="34" customWidth="1"/>
    <col min="8721" max="8722" width="18.109375" style="34" customWidth="1"/>
    <col min="8723" max="8723" width="19.88671875" style="34" customWidth="1"/>
    <col min="8724" max="8724" width="19.6640625" style="34" customWidth="1"/>
    <col min="8725" max="8731" width="18.109375" style="34" customWidth="1"/>
    <col min="8732" max="8960" width="8.88671875" style="34"/>
    <col min="8961" max="8961" width="45" style="34" customWidth="1"/>
    <col min="8962" max="8962" width="19.33203125" style="34" customWidth="1"/>
    <col min="8963" max="8963" width="19.44140625" style="34" customWidth="1"/>
    <col min="8964" max="8964" width="20.33203125" style="34" customWidth="1"/>
    <col min="8965" max="8965" width="18.6640625" style="34" customWidth="1"/>
    <col min="8966" max="8966" width="4" style="34" customWidth="1"/>
    <col min="8967" max="8967" width="12.5546875" style="34" customWidth="1"/>
    <col min="8968" max="8968" width="12.88671875" style="34" customWidth="1"/>
    <col min="8969" max="8970" width="11" style="34" customWidth="1"/>
    <col min="8971" max="8971" width="10.6640625" style="34" customWidth="1"/>
    <col min="8972" max="8972" width="10.5546875" style="34" customWidth="1"/>
    <col min="8973" max="8973" width="20" style="34" customWidth="1"/>
    <col min="8974" max="8974" width="23.109375" style="34" customWidth="1"/>
    <col min="8975" max="8975" width="18.109375" style="34" customWidth="1"/>
    <col min="8976" max="8976" width="32.44140625" style="34" customWidth="1"/>
    <col min="8977" max="8978" width="18.109375" style="34" customWidth="1"/>
    <col min="8979" max="8979" width="19.88671875" style="34" customWidth="1"/>
    <col min="8980" max="8980" width="19.6640625" style="34" customWidth="1"/>
    <col min="8981" max="8987" width="18.109375" style="34" customWidth="1"/>
    <col min="8988" max="9216" width="8.88671875" style="34"/>
    <col min="9217" max="9217" width="45" style="34" customWidth="1"/>
    <col min="9218" max="9218" width="19.33203125" style="34" customWidth="1"/>
    <col min="9219" max="9219" width="19.44140625" style="34" customWidth="1"/>
    <col min="9220" max="9220" width="20.33203125" style="34" customWidth="1"/>
    <col min="9221" max="9221" width="18.6640625" style="34" customWidth="1"/>
    <col min="9222" max="9222" width="4" style="34" customWidth="1"/>
    <col min="9223" max="9223" width="12.5546875" style="34" customWidth="1"/>
    <col min="9224" max="9224" width="12.88671875" style="34" customWidth="1"/>
    <col min="9225" max="9226" width="11" style="34" customWidth="1"/>
    <col min="9227" max="9227" width="10.6640625" style="34" customWidth="1"/>
    <col min="9228" max="9228" width="10.5546875" style="34" customWidth="1"/>
    <col min="9229" max="9229" width="20" style="34" customWidth="1"/>
    <col min="9230" max="9230" width="23.109375" style="34" customWidth="1"/>
    <col min="9231" max="9231" width="18.109375" style="34" customWidth="1"/>
    <col min="9232" max="9232" width="32.44140625" style="34" customWidth="1"/>
    <col min="9233" max="9234" width="18.109375" style="34" customWidth="1"/>
    <col min="9235" max="9235" width="19.88671875" style="34" customWidth="1"/>
    <col min="9236" max="9236" width="19.6640625" style="34" customWidth="1"/>
    <col min="9237" max="9243" width="18.109375" style="34" customWidth="1"/>
    <col min="9244" max="9472" width="8.88671875" style="34"/>
    <col min="9473" max="9473" width="45" style="34" customWidth="1"/>
    <col min="9474" max="9474" width="19.33203125" style="34" customWidth="1"/>
    <col min="9475" max="9475" width="19.44140625" style="34" customWidth="1"/>
    <col min="9476" max="9476" width="20.33203125" style="34" customWidth="1"/>
    <col min="9477" max="9477" width="18.6640625" style="34" customWidth="1"/>
    <col min="9478" max="9478" width="4" style="34" customWidth="1"/>
    <col min="9479" max="9479" width="12.5546875" style="34" customWidth="1"/>
    <col min="9480" max="9480" width="12.88671875" style="34" customWidth="1"/>
    <col min="9481" max="9482" width="11" style="34" customWidth="1"/>
    <col min="9483" max="9483" width="10.6640625" style="34" customWidth="1"/>
    <col min="9484" max="9484" width="10.5546875" style="34" customWidth="1"/>
    <col min="9485" max="9485" width="20" style="34" customWidth="1"/>
    <col min="9486" max="9486" width="23.109375" style="34" customWidth="1"/>
    <col min="9487" max="9487" width="18.109375" style="34" customWidth="1"/>
    <col min="9488" max="9488" width="32.44140625" style="34" customWidth="1"/>
    <col min="9489" max="9490" width="18.109375" style="34" customWidth="1"/>
    <col min="9491" max="9491" width="19.88671875" style="34" customWidth="1"/>
    <col min="9492" max="9492" width="19.6640625" style="34" customWidth="1"/>
    <col min="9493" max="9499" width="18.109375" style="34" customWidth="1"/>
    <col min="9500" max="9728" width="8.88671875" style="34"/>
    <col min="9729" max="9729" width="45" style="34" customWidth="1"/>
    <col min="9730" max="9730" width="19.33203125" style="34" customWidth="1"/>
    <col min="9731" max="9731" width="19.44140625" style="34" customWidth="1"/>
    <col min="9732" max="9732" width="20.33203125" style="34" customWidth="1"/>
    <col min="9733" max="9733" width="18.6640625" style="34" customWidth="1"/>
    <col min="9734" max="9734" width="4" style="34" customWidth="1"/>
    <col min="9735" max="9735" width="12.5546875" style="34" customWidth="1"/>
    <col min="9736" max="9736" width="12.88671875" style="34" customWidth="1"/>
    <col min="9737" max="9738" width="11" style="34" customWidth="1"/>
    <col min="9739" max="9739" width="10.6640625" style="34" customWidth="1"/>
    <col min="9740" max="9740" width="10.5546875" style="34" customWidth="1"/>
    <col min="9741" max="9741" width="20" style="34" customWidth="1"/>
    <col min="9742" max="9742" width="23.109375" style="34" customWidth="1"/>
    <col min="9743" max="9743" width="18.109375" style="34" customWidth="1"/>
    <col min="9744" max="9744" width="32.44140625" style="34" customWidth="1"/>
    <col min="9745" max="9746" width="18.109375" style="34" customWidth="1"/>
    <col min="9747" max="9747" width="19.88671875" style="34" customWidth="1"/>
    <col min="9748" max="9748" width="19.6640625" style="34" customWidth="1"/>
    <col min="9749" max="9755" width="18.109375" style="34" customWidth="1"/>
    <col min="9756" max="9984" width="8.88671875" style="34"/>
    <col min="9985" max="9985" width="45" style="34" customWidth="1"/>
    <col min="9986" max="9986" width="19.33203125" style="34" customWidth="1"/>
    <col min="9987" max="9987" width="19.44140625" style="34" customWidth="1"/>
    <col min="9988" max="9988" width="20.33203125" style="34" customWidth="1"/>
    <col min="9989" max="9989" width="18.6640625" style="34" customWidth="1"/>
    <col min="9990" max="9990" width="4" style="34" customWidth="1"/>
    <col min="9991" max="9991" width="12.5546875" style="34" customWidth="1"/>
    <col min="9992" max="9992" width="12.88671875" style="34" customWidth="1"/>
    <col min="9993" max="9994" width="11" style="34" customWidth="1"/>
    <col min="9995" max="9995" width="10.6640625" style="34" customWidth="1"/>
    <col min="9996" max="9996" width="10.5546875" style="34" customWidth="1"/>
    <col min="9997" max="9997" width="20" style="34" customWidth="1"/>
    <col min="9998" max="9998" width="23.109375" style="34" customWidth="1"/>
    <col min="9999" max="9999" width="18.109375" style="34" customWidth="1"/>
    <col min="10000" max="10000" width="32.44140625" style="34" customWidth="1"/>
    <col min="10001" max="10002" width="18.109375" style="34" customWidth="1"/>
    <col min="10003" max="10003" width="19.88671875" style="34" customWidth="1"/>
    <col min="10004" max="10004" width="19.6640625" style="34" customWidth="1"/>
    <col min="10005" max="10011" width="18.109375" style="34" customWidth="1"/>
    <col min="10012" max="10240" width="8.88671875" style="34"/>
    <col min="10241" max="10241" width="45" style="34" customWidth="1"/>
    <col min="10242" max="10242" width="19.33203125" style="34" customWidth="1"/>
    <col min="10243" max="10243" width="19.44140625" style="34" customWidth="1"/>
    <col min="10244" max="10244" width="20.33203125" style="34" customWidth="1"/>
    <col min="10245" max="10245" width="18.6640625" style="34" customWidth="1"/>
    <col min="10246" max="10246" width="4" style="34" customWidth="1"/>
    <col min="10247" max="10247" width="12.5546875" style="34" customWidth="1"/>
    <col min="10248" max="10248" width="12.88671875" style="34" customWidth="1"/>
    <col min="10249" max="10250" width="11" style="34" customWidth="1"/>
    <col min="10251" max="10251" width="10.6640625" style="34" customWidth="1"/>
    <col min="10252" max="10252" width="10.5546875" style="34" customWidth="1"/>
    <col min="10253" max="10253" width="20" style="34" customWidth="1"/>
    <col min="10254" max="10254" width="23.109375" style="34" customWidth="1"/>
    <col min="10255" max="10255" width="18.109375" style="34" customWidth="1"/>
    <col min="10256" max="10256" width="32.44140625" style="34" customWidth="1"/>
    <col min="10257" max="10258" width="18.109375" style="34" customWidth="1"/>
    <col min="10259" max="10259" width="19.88671875" style="34" customWidth="1"/>
    <col min="10260" max="10260" width="19.6640625" style="34" customWidth="1"/>
    <col min="10261" max="10267" width="18.109375" style="34" customWidth="1"/>
    <col min="10268" max="10496" width="8.88671875" style="34"/>
    <col min="10497" max="10497" width="45" style="34" customWidth="1"/>
    <col min="10498" max="10498" width="19.33203125" style="34" customWidth="1"/>
    <col min="10499" max="10499" width="19.44140625" style="34" customWidth="1"/>
    <col min="10500" max="10500" width="20.33203125" style="34" customWidth="1"/>
    <col min="10501" max="10501" width="18.6640625" style="34" customWidth="1"/>
    <col min="10502" max="10502" width="4" style="34" customWidth="1"/>
    <col min="10503" max="10503" width="12.5546875" style="34" customWidth="1"/>
    <col min="10504" max="10504" width="12.88671875" style="34" customWidth="1"/>
    <col min="10505" max="10506" width="11" style="34" customWidth="1"/>
    <col min="10507" max="10507" width="10.6640625" style="34" customWidth="1"/>
    <col min="10508" max="10508" width="10.5546875" style="34" customWidth="1"/>
    <col min="10509" max="10509" width="20" style="34" customWidth="1"/>
    <col min="10510" max="10510" width="23.109375" style="34" customWidth="1"/>
    <col min="10511" max="10511" width="18.109375" style="34" customWidth="1"/>
    <col min="10512" max="10512" width="32.44140625" style="34" customWidth="1"/>
    <col min="10513" max="10514" width="18.109375" style="34" customWidth="1"/>
    <col min="10515" max="10515" width="19.88671875" style="34" customWidth="1"/>
    <col min="10516" max="10516" width="19.6640625" style="34" customWidth="1"/>
    <col min="10517" max="10523" width="18.109375" style="34" customWidth="1"/>
    <col min="10524" max="10752" width="8.88671875" style="34"/>
    <col min="10753" max="10753" width="45" style="34" customWidth="1"/>
    <col min="10754" max="10754" width="19.33203125" style="34" customWidth="1"/>
    <col min="10755" max="10755" width="19.44140625" style="34" customWidth="1"/>
    <col min="10756" max="10756" width="20.33203125" style="34" customWidth="1"/>
    <col min="10757" max="10757" width="18.6640625" style="34" customWidth="1"/>
    <col min="10758" max="10758" width="4" style="34" customWidth="1"/>
    <col min="10759" max="10759" width="12.5546875" style="34" customWidth="1"/>
    <col min="10760" max="10760" width="12.88671875" style="34" customWidth="1"/>
    <col min="10761" max="10762" width="11" style="34" customWidth="1"/>
    <col min="10763" max="10763" width="10.6640625" style="34" customWidth="1"/>
    <col min="10764" max="10764" width="10.5546875" style="34" customWidth="1"/>
    <col min="10765" max="10765" width="20" style="34" customWidth="1"/>
    <col min="10766" max="10766" width="23.109375" style="34" customWidth="1"/>
    <col min="10767" max="10767" width="18.109375" style="34" customWidth="1"/>
    <col min="10768" max="10768" width="32.44140625" style="34" customWidth="1"/>
    <col min="10769" max="10770" width="18.109375" style="34" customWidth="1"/>
    <col min="10771" max="10771" width="19.88671875" style="34" customWidth="1"/>
    <col min="10772" max="10772" width="19.6640625" style="34" customWidth="1"/>
    <col min="10773" max="10779" width="18.109375" style="34" customWidth="1"/>
    <col min="10780" max="11008" width="8.88671875" style="34"/>
    <col min="11009" max="11009" width="45" style="34" customWidth="1"/>
    <col min="11010" max="11010" width="19.33203125" style="34" customWidth="1"/>
    <col min="11011" max="11011" width="19.44140625" style="34" customWidth="1"/>
    <col min="11012" max="11012" width="20.33203125" style="34" customWidth="1"/>
    <col min="11013" max="11013" width="18.6640625" style="34" customWidth="1"/>
    <col min="11014" max="11014" width="4" style="34" customWidth="1"/>
    <col min="11015" max="11015" width="12.5546875" style="34" customWidth="1"/>
    <col min="11016" max="11016" width="12.88671875" style="34" customWidth="1"/>
    <col min="11017" max="11018" width="11" style="34" customWidth="1"/>
    <col min="11019" max="11019" width="10.6640625" style="34" customWidth="1"/>
    <col min="11020" max="11020" width="10.5546875" style="34" customWidth="1"/>
    <col min="11021" max="11021" width="20" style="34" customWidth="1"/>
    <col min="11022" max="11022" width="23.109375" style="34" customWidth="1"/>
    <col min="11023" max="11023" width="18.109375" style="34" customWidth="1"/>
    <col min="11024" max="11024" width="32.44140625" style="34" customWidth="1"/>
    <col min="11025" max="11026" width="18.109375" style="34" customWidth="1"/>
    <col min="11027" max="11027" width="19.88671875" style="34" customWidth="1"/>
    <col min="11028" max="11028" width="19.6640625" style="34" customWidth="1"/>
    <col min="11029" max="11035" width="18.109375" style="34" customWidth="1"/>
    <col min="11036" max="11264" width="8.88671875" style="34"/>
    <col min="11265" max="11265" width="45" style="34" customWidth="1"/>
    <col min="11266" max="11266" width="19.33203125" style="34" customWidth="1"/>
    <col min="11267" max="11267" width="19.44140625" style="34" customWidth="1"/>
    <col min="11268" max="11268" width="20.33203125" style="34" customWidth="1"/>
    <col min="11269" max="11269" width="18.6640625" style="34" customWidth="1"/>
    <col min="11270" max="11270" width="4" style="34" customWidth="1"/>
    <col min="11271" max="11271" width="12.5546875" style="34" customWidth="1"/>
    <col min="11272" max="11272" width="12.88671875" style="34" customWidth="1"/>
    <col min="11273" max="11274" width="11" style="34" customWidth="1"/>
    <col min="11275" max="11275" width="10.6640625" style="34" customWidth="1"/>
    <col min="11276" max="11276" width="10.5546875" style="34" customWidth="1"/>
    <col min="11277" max="11277" width="20" style="34" customWidth="1"/>
    <col min="11278" max="11278" width="23.109375" style="34" customWidth="1"/>
    <col min="11279" max="11279" width="18.109375" style="34" customWidth="1"/>
    <col min="11280" max="11280" width="32.44140625" style="34" customWidth="1"/>
    <col min="11281" max="11282" width="18.109375" style="34" customWidth="1"/>
    <col min="11283" max="11283" width="19.88671875" style="34" customWidth="1"/>
    <col min="11284" max="11284" width="19.6640625" style="34" customWidth="1"/>
    <col min="11285" max="11291" width="18.109375" style="34" customWidth="1"/>
    <col min="11292" max="11520" width="8.88671875" style="34"/>
    <col min="11521" max="11521" width="45" style="34" customWidth="1"/>
    <col min="11522" max="11522" width="19.33203125" style="34" customWidth="1"/>
    <col min="11523" max="11523" width="19.44140625" style="34" customWidth="1"/>
    <col min="11524" max="11524" width="20.33203125" style="34" customWidth="1"/>
    <col min="11525" max="11525" width="18.6640625" style="34" customWidth="1"/>
    <col min="11526" max="11526" width="4" style="34" customWidth="1"/>
    <col min="11527" max="11527" width="12.5546875" style="34" customWidth="1"/>
    <col min="11528" max="11528" width="12.88671875" style="34" customWidth="1"/>
    <col min="11529" max="11530" width="11" style="34" customWidth="1"/>
    <col min="11531" max="11531" width="10.6640625" style="34" customWidth="1"/>
    <col min="11532" max="11532" width="10.5546875" style="34" customWidth="1"/>
    <col min="11533" max="11533" width="20" style="34" customWidth="1"/>
    <col min="11534" max="11534" width="23.109375" style="34" customWidth="1"/>
    <col min="11535" max="11535" width="18.109375" style="34" customWidth="1"/>
    <col min="11536" max="11536" width="32.44140625" style="34" customWidth="1"/>
    <col min="11537" max="11538" width="18.109375" style="34" customWidth="1"/>
    <col min="11539" max="11539" width="19.88671875" style="34" customWidth="1"/>
    <col min="11540" max="11540" width="19.6640625" style="34" customWidth="1"/>
    <col min="11541" max="11547" width="18.109375" style="34" customWidth="1"/>
    <col min="11548" max="11776" width="8.88671875" style="34"/>
    <col min="11777" max="11777" width="45" style="34" customWidth="1"/>
    <col min="11778" max="11778" width="19.33203125" style="34" customWidth="1"/>
    <col min="11779" max="11779" width="19.44140625" style="34" customWidth="1"/>
    <col min="11780" max="11780" width="20.33203125" style="34" customWidth="1"/>
    <col min="11781" max="11781" width="18.6640625" style="34" customWidth="1"/>
    <col min="11782" max="11782" width="4" style="34" customWidth="1"/>
    <col min="11783" max="11783" width="12.5546875" style="34" customWidth="1"/>
    <col min="11784" max="11784" width="12.88671875" style="34" customWidth="1"/>
    <col min="11785" max="11786" width="11" style="34" customWidth="1"/>
    <col min="11787" max="11787" width="10.6640625" style="34" customWidth="1"/>
    <col min="11788" max="11788" width="10.5546875" style="34" customWidth="1"/>
    <col min="11789" max="11789" width="20" style="34" customWidth="1"/>
    <col min="11790" max="11790" width="23.109375" style="34" customWidth="1"/>
    <col min="11791" max="11791" width="18.109375" style="34" customWidth="1"/>
    <col min="11792" max="11792" width="32.44140625" style="34" customWidth="1"/>
    <col min="11793" max="11794" width="18.109375" style="34" customWidth="1"/>
    <col min="11795" max="11795" width="19.88671875" style="34" customWidth="1"/>
    <col min="11796" max="11796" width="19.6640625" style="34" customWidth="1"/>
    <col min="11797" max="11803" width="18.109375" style="34" customWidth="1"/>
    <col min="11804" max="12032" width="8.88671875" style="34"/>
    <col min="12033" max="12033" width="45" style="34" customWidth="1"/>
    <col min="12034" max="12034" width="19.33203125" style="34" customWidth="1"/>
    <col min="12035" max="12035" width="19.44140625" style="34" customWidth="1"/>
    <col min="12036" max="12036" width="20.33203125" style="34" customWidth="1"/>
    <col min="12037" max="12037" width="18.6640625" style="34" customWidth="1"/>
    <col min="12038" max="12038" width="4" style="34" customWidth="1"/>
    <col min="12039" max="12039" width="12.5546875" style="34" customWidth="1"/>
    <col min="12040" max="12040" width="12.88671875" style="34" customWidth="1"/>
    <col min="12041" max="12042" width="11" style="34" customWidth="1"/>
    <col min="12043" max="12043" width="10.6640625" style="34" customWidth="1"/>
    <col min="12044" max="12044" width="10.5546875" style="34" customWidth="1"/>
    <col min="12045" max="12045" width="20" style="34" customWidth="1"/>
    <col min="12046" max="12046" width="23.109375" style="34" customWidth="1"/>
    <col min="12047" max="12047" width="18.109375" style="34" customWidth="1"/>
    <col min="12048" max="12048" width="32.44140625" style="34" customWidth="1"/>
    <col min="12049" max="12050" width="18.109375" style="34" customWidth="1"/>
    <col min="12051" max="12051" width="19.88671875" style="34" customWidth="1"/>
    <col min="12052" max="12052" width="19.6640625" style="34" customWidth="1"/>
    <col min="12053" max="12059" width="18.109375" style="34" customWidth="1"/>
    <col min="12060" max="12288" width="8.88671875" style="34"/>
    <col min="12289" max="12289" width="45" style="34" customWidth="1"/>
    <col min="12290" max="12290" width="19.33203125" style="34" customWidth="1"/>
    <col min="12291" max="12291" width="19.44140625" style="34" customWidth="1"/>
    <col min="12292" max="12292" width="20.33203125" style="34" customWidth="1"/>
    <col min="12293" max="12293" width="18.6640625" style="34" customWidth="1"/>
    <col min="12294" max="12294" width="4" style="34" customWidth="1"/>
    <col min="12295" max="12295" width="12.5546875" style="34" customWidth="1"/>
    <col min="12296" max="12296" width="12.88671875" style="34" customWidth="1"/>
    <col min="12297" max="12298" width="11" style="34" customWidth="1"/>
    <col min="12299" max="12299" width="10.6640625" style="34" customWidth="1"/>
    <col min="12300" max="12300" width="10.5546875" style="34" customWidth="1"/>
    <col min="12301" max="12301" width="20" style="34" customWidth="1"/>
    <col min="12302" max="12302" width="23.109375" style="34" customWidth="1"/>
    <col min="12303" max="12303" width="18.109375" style="34" customWidth="1"/>
    <col min="12304" max="12304" width="32.44140625" style="34" customWidth="1"/>
    <col min="12305" max="12306" width="18.109375" style="34" customWidth="1"/>
    <col min="12307" max="12307" width="19.88671875" style="34" customWidth="1"/>
    <col min="12308" max="12308" width="19.6640625" style="34" customWidth="1"/>
    <col min="12309" max="12315" width="18.109375" style="34" customWidth="1"/>
    <col min="12316" max="12544" width="8.88671875" style="34"/>
    <col min="12545" max="12545" width="45" style="34" customWidth="1"/>
    <col min="12546" max="12546" width="19.33203125" style="34" customWidth="1"/>
    <col min="12547" max="12547" width="19.44140625" style="34" customWidth="1"/>
    <col min="12548" max="12548" width="20.33203125" style="34" customWidth="1"/>
    <col min="12549" max="12549" width="18.6640625" style="34" customWidth="1"/>
    <col min="12550" max="12550" width="4" style="34" customWidth="1"/>
    <col min="12551" max="12551" width="12.5546875" style="34" customWidth="1"/>
    <col min="12552" max="12552" width="12.88671875" style="34" customWidth="1"/>
    <col min="12553" max="12554" width="11" style="34" customWidth="1"/>
    <col min="12555" max="12555" width="10.6640625" style="34" customWidth="1"/>
    <col min="12556" max="12556" width="10.5546875" style="34" customWidth="1"/>
    <col min="12557" max="12557" width="20" style="34" customWidth="1"/>
    <col min="12558" max="12558" width="23.109375" style="34" customWidth="1"/>
    <col min="12559" max="12559" width="18.109375" style="34" customWidth="1"/>
    <col min="12560" max="12560" width="32.44140625" style="34" customWidth="1"/>
    <col min="12561" max="12562" width="18.109375" style="34" customWidth="1"/>
    <col min="12563" max="12563" width="19.88671875" style="34" customWidth="1"/>
    <col min="12564" max="12564" width="19.6640625" style="34" customWidth="1"/>
    <col min="12565" max="12571" width="18.109375" style="34" customWidth="1"/>
    <col min="12572" max="12800" width="8.88671875" style="34"/>
    <col min="12801" max="12801" width="45" style="34" customWidth="1"/>
    <col min="12802" max="12802" width="19.33203125" style="34" customWidth="1"/>
    <col min="12803" max="12803" width="19.44140625" style="34" customWidth="1"/>
    <col min="12804" max="12804" width="20.33203125" style="34" customWidth="1"/>
    <col min="12805" max="12805" width="18.6640625" style="34" customWidth="1"/>
    <col min="12806" max="12806" width="4" style="34" customWidth="1"/>
    <col min="12807" max="12807" width="12.5546875" style="34" customWidth="1"/>
    <col min="12808" max="12808" width="12.88671875" style="34" customWidth="1"/>
    <col min="12809" max="12810" width="11" style="34" customWidth="1"/>
    <col min="12811" max="12811" width="10.6640625" style="34" customWidth="1"/>
    <col min="12812" max="12812" width="10.5546875" style="34" customWidth="1"/>
    <col min="12813" max="12813" width="20" style="34" customWidth="1"/>
    <col min="12814" max="12814" width="23.109375" style="34" customWidth="1"/>
    <col min="12815" max="12815" width="18.109375" style="34" customWidth="1"/>
    <col min="12816" max="12816" width="32.44140625" style="34" customWidth="1"/>
    <col min="12817" max="12818" width="18.109375" style="34" customWidth="1"/>
    <col min="12819" max="12819" width="19.88671875" style="34" customWidth="1"/>
    <col min="12820" max="12820" width="19.6640625" style="34" customWidth="1"/>
    <col min="12821" max="12827" width="18.109375" style="34" customWidth="1"/>
    <col min="12828" max="13056" width="8.88671875" style="34"/>
    <col min="13057" max="13057" width="45" style="34" customWidth="1"/>
    <col min="13058" max="13058" width="19.33203125" style="34" customWidth="1"/>
    <col min="13059" max="13059" width="19.44140625" style="34" customWidth="1"/>
    <col min="13060" max="13060" width="20.33203125" style="34" customWidth="1"/>
    <col min="13061" max="13061" width="18.6640625" style="34" customWidth="1"/>
    <col min="13062" max="13062" width="4" style="34" customWidth="1"/>
    <col min="13063" max="13063" width="12.5546875" style="34" customWidth="1"/>
    <col min="13064" max="13064" width="12.88671875" style="34" customWidth="1"/>
    <col min="13065" max="13066" width="11" style="34" customWidth="1"/>
    <col min="13067" max="13067" width="10.6640625" style="34" customWidth="1"/>
    <col min="13068" max="13068" width="10.5546875" style="34" customWidth="1"/>
    <col min="13069" max="13069" width="20" style="34" customWidth="1"/>
    <col min="13070" max="13070" width="23.109375" style="34" customWidth="1"/>
    <col min="13071" max="13071" width="18.109375" style="34" customWidth="1"/>
    <col min="13072" max="13072" width="32.44140625" style="34" customWidth="1"/>
    <col min="13073" max="13074" width="18.109375" style="34" customWidth="1"/>
    <col min="13075" max="13075" width="19.88671875" style="34" customWidth="1"/>
    <col min="13076" max="13076" width="19.6640625" style="34" customWidth="1"/>
    <col min="13077" max="13083" width="18.109375" style="34" customWidth="1"/>
    <col min="13084" max="13312" width="8.88671875" style="34"/>
    <col min="13313" max="13313" width="45" style="34" customWidth="1"/>
    <col min="13314" max="13314" width="19.33203125" style="34" customWidth="1"/>
    <col min="13315" max="13315" width="19.44140625" style="34" customWidth="1"/>
    <col min="13316" max="13316" width="20.33203125" style="34" customWidth="1"/>
    <col min="13317" max="13317" width="18.6640625" style="34" customWidth="1"/>
    <col min="13318" max="13318" width="4" style="34" customWidth="1"/>
    <col min="13319" max="13319" width="12.5546875" style="34" customWidth="1"/>
    <col min="13320" max="13320" width="12.88671875" style="34" customWidth="1"/>
    <col min="13321" max="13322" width="11" style="34" customWidth="1"/>
    <col min="13323" max="13323" width="10.6640625" style="34" customWidth="1"/>
    <col min="13324" max="13324" width="10.5546875" style="34" customWidth="1"/>
    <col min="13325" max="13325" width="20" style="34" customWidth="1"/>
    <col min="13326" max="13326" width="23.109375" style="34" customWidth="1"/>
    <col min="13327" max="13327" width="18.109375" style="34" customWidth="1"/>
    <col min="13328" max="13328" width="32.44140625" style="34" customWidth="1"/>
    <col min="13329" max="13330" width="18.109375" style="34" customWidth="1"/>
    <col min="13331" max="13331" width="19.88671875" style="34" customWidth="1"/>
    <col min="13332" max="13332" width="19.6640625" style="34" customWidth="1"/>
    <col min="13333" max="13339" width="18.109375" style="34" customWidth="1"/>
    <col min="13340" max="13568" width="8.88671875" style="34"/>
    <col min="13569" max="13569" width="45" style="34" customWidth="1"/>
    <col min="13570" max="13570" width="19.33203125" style="34" customWidth="1"/>
    <col min="13571" max="13571" width="19.44140625" style="34" customWidth="1"/>
    <col min="13572" max="13572" width="20.33203125" style="34" customWidth="1"/>
    <col min="13573" max="13573" width="18.6640625" style="34" customWidth="1"/>
    <col min="13574" max="13574" width="4" style="34" customWidth="1"/>
    <col min="13575" max="13575" width="12.5546875" style="34" customWidth="1"/>
    <col min="13576" max="13576" width="12.88671875" style="34" customWidth="1"/>
    <col min="13577" max="13578" width="11" style="34" customWidth="1"/>
    <col min="13579" max="13579" width="10.6640625" style="34" customWidth="1"/>
    <col min="13580" max="13580" width="10.5546875" style="34" customWidth="1"/>
    <col min="13581" max="13581" width="20" style="34" customWidth="1"/>
    <col min="13582" max="13582" width="23.109375" style="34" customWidth="1"/>
    <col min="13583" max="13583" width="18.109375" style="34" customWidth="1"/>
    <col min="13584" max="13584" width="32.44140625" style="34" customWidth="1"/>
    <col min="13585" max="13586" width="18.109375" style="34" customWidth="1"/>
    <col min="13587" max="13587" width="19.88671875" style="34" customWidth="1"/>
    <col min="13588" max="13588" width="19.6640625" style="34" customWidth="1"/>
    <col min="13589" max="13595" width="18.109375" style="34" customWidth="1"/>
    <col min="13596" max="13824" width="8.88671875" style="34"/>
    <col min="13825" max="13825" width="45" style="34" customWidth="1"/>
    <col min="13826" max="13826" width="19.33203125" style="34" customWidth="1"/>
    <col min="13827" max="13827" width="19.44140625" style="34" customWidth="1"/>
    <col min="13828" max="13828" width="20.33203125" style="34" customWidth="1"/>
    <col min="13829" max="13829" width="18.6640625" style="34" customWidth="1"/>
    <col min="13830" max="13830" width="4" style="34" customWidth="1"/>
    <col min="13831" max="13831" width="12.5546875" style="34" customWidth="1"/>
    <col min="13832" max="13832" width="12.88671875" style="34" customWidth="1"/>
    <col min="13833" max="13834" width="11" style="34" customWidth="1"/>
    <col min="13835" max="13835" width="10.6640625" style="34" customWidth="1"/>
    <col min="13836" max="13836" width="10.5546875" style="34" customWidth="1"/>
    <col min="13837" max="13837" width="20" style="34" customWidth="1"/>
    <col min="13838" max="13838" width="23.109375" style="34" customWidth="1"/>
    <col min="13839" max="13839" width="18.109375" style="34" customWidth="1"/>
    <col min="13840" max="13840" width="32.44140625" style="34" customWidth="1"/>
    <col min="13841" max="13842" width="18.109375" style="34" customWidth="1"/>
    <col min="13843" max="13843" width="19.88671875" style="34" customWidth="1"/>
    <col min="13844" max="13844" width="19.6640625" style="34" customWidth="1"/>
    <col min="13845" max="13851" width="18.109375" style="34" customWidth="1"/>
    <col min="13852" max="14080" width="8.88671875" style="34"/>
    <col min="14081" max="14081" width="45" style="34" customWidth="1"/>
    <col min="14082" max="14082" width="19.33203125" style="34" customWidth="1"/>
    <col min="14083" max="14083" width="19.44140625" style="34" customWidth="1"/>
    <col min="14084" max="14084" width="20.33203125" style="34" customWidth="1"/>
    <col min="14085" max="14085" width="18.6640625" style="34" customWidth="1"/>
    <col min="14086" max="14086" width="4" style="34" customWidth="1"/>
    <col min="14087" max="14087" width="12.5546875" style="34" customWidth="1"/>
    <col min="14088" max="14088" width="12.88671875" style="34" customWidth="1"/>
    <col min="14089" max="14090" width="11" style="34" customWidth="1"/>
    <col min="14091" max="14091" width="10.6640625" style="34" customWidth="1"/>
    <col min="14092" max="14092" width="10.5546875" style="34" customWidth="1"/>
    <col min="14093" max="14093" width="20" style="34" customWidth="1"/>
    <col min="14094" max="14094" width="23.109375" style="34" customWidth="1"/>
    <col min="14095" max="14095" width="18.109375" style="34" customWidth="1"/>
    <col min="14096" max="14096" width="32.44140625" style="34" customWidth="1"/>
    <col min="14097" max="14098" width="18.109375" style="34" customWidth="1"/>
    <col min="14099" max="14099" width="19.88671875" style="34" customWidth="1"/>
    <col min="14100" max="14100" width="19.6640625" style="34" customWidth="1"/>
    <col min="14101" max="14107" width="18.109375" style="34" customWidth="1"/>
    <col min="14108" max="14336" width="8.88671875" style="34"/>
    <col min="14337" max="14337" width="45" style="34" customWidth="1"/>
    <col min="14338" max="14338" width="19.33203125" style="34" customWidth="1"/>
    <col min="14339" max="14339" width="19.44140625" style="34" customWidth="1"/>
    <col min="14340" max="14340" width="20.33203125" style="34" customWidth="1"/>
    <col min="14341" max="14341" width="18.6640625" style="34" customWidth="1"/>
    <col min="14342" max="14342" width="4" style="34" customWidth="1"/>
    <col min="14343" max="14343" width="12.5546875" style="34" customWidth="1"/>
    <col min="14344" max="14344" width="12.88671875" style="34" customWidth="1"/>
    <col min="14345" max="14346" width="11" style="34" customWidth="1"/>
    <col min="14347" max="14347" width="10.6640625" style="34" customWidth="1"/>
    <col min="14348" max="14348" width="10.5546875" style="34" customWidth="1"/>
    <col min="14349" max="14349" width="20" style="34" customWidth="1"/>
    <col min="14350" max="14350" width="23.109375" style="34" customWidth="1"/>
    <col min="14351" max="14351" width="18.109375" style="34" customWidth="1"/>
    <col min="14352" max="14352" width="32.44140625" style="34" customWidth="1"/>
    <col min="14353" max="14354" width="18.109375" style="34" customWidth="1"/>
    <col min="14355" max="14355" width="19.88671875" style="34" customWidth="1"/>
    <col min="14356" max="14356" width="19.6640625" style="34" customWidth="1"/>
    <col min="14357" max="14363" width="18.109375" style="34" customWidth="1"/>
    <col min="14364" max="14592" width="8.88671875" style="34"/>
    <col min="14593" max="14593" width="45" style="34" customWidth="1"/>
    <col min="14594" max="14594" width="19.33203125" style="34" customWidth="1"/>
    <col min="14595" max="14595" width="19.44140625" style="34" customWidth="1"/>
    <col min="14596" max="14596" width="20.33203125" style="34" customWidth="1"/>
    <col min="14597" max="14597" width="18.6640625" style="34" customWidth="1"/>
    <col min="14598" max="14598" width="4" style="34" customWidth="1"/>
    <col min="14599" max="14599" width="12.5546875" style="34" customWidth="1"/>
    <col min="14600" max="14600" width="12.88671875" style="34" customWidth="1"/>
    <col min="14601" max="14602" width="11" style="34" customWidth="1"/>
    <col min="14603" max="14603" width="10.6640625" style="34" customWidth="1"/>
    <col min="14604" max="14604" width="10.5546875" style="34" customWidth="1"/>
    <col min="14605" max="14605" width="20" style="34" customWidth="1"/>
    <col min="14606" max="14606" width="23.109375" style="34" customWidth="1"/>
    <col min="14607" max="14607" width="18.109375" style="34" customWidth="1"/>
    <col min="14608" max="14608" width="32.44140625" style="34" customWidth="1"/>
    <col min="14609" max="14610" width="18.109375" style="34" customWidth="1"/>
    <col min="14611" max="14611" width="19.88671875" style="34" customWidth="1"/>
    <col min="14612" max="14612" width="19.6640625" style="34" customWidth="1"/>
    <col min="14613" max="14619" width="18.109375" style="34" customWidth="1"/>
    <col min="14620" max="14848" width="8.88671875" style="34"/>
    <col min="14849" max="14849" width="45" style="34" customWidth="1"/>
    <col min="14850" max="14850" width="19.33203125" style="34" customWidth="1"/>
    <col min="14851" max="14851" width="19.44140625" style="34" customWidth="1"/>
    <col min="14852" max="14852" width="20.33203125" style="34" customWidth="1"/>
    <col min="14853" max="14853" width="18.6640625" style="34" customWidth="1"/>
    <col min="14854" max="14854" width="4" style="34" customWidth="1"/>
    <col min="14855" max="14855" width="12.5546875" style="34" customWidth="1"/>
    <col min="14856" max="14856" width="12.88671875" style="34" customWidth="1"/>
    <col min="14857" max="14858" width="11" style="34" customWidth="1"/>
    <col min="14859" max="14859" width="10.6640625" style="34" customWidth="1"/>
    <col min="14860" max="14860" width="10.5546875" style="34" customWidth="1"/>
    <col min="14861" max="14861" width="20" style="34" customWidth="1"/>
    <col min="14862" max="14862" width="23.109375" style="34" customWidth="1"/>
    <col min="14863" max="14863" width="18.109375" style="34" customWidth="1"/>
    <col min="14864" max="14864" width="32.44140625" style="34" customWidth="1"/>
    <col min="14865" max="14866" width="18.109375" style="34" customWidth="1"/>
    <col min="14867" max="14867" width="19.88671875" style="34" customWidth="1"/>
    <col min="14868" max="14868" width="19.6640625" style="34" customWidth="1"/>
    <col min="14869" max="14875" width="18.109375" style="34" customWidth="1"/>
    <col min="14876" max="15104" width="8.88671875" style="34"/>
    <col min="15105" max="15105" width="45" style="34" customWidth="1"/>
    <col min="15106" max="15106" width="19.33203125" style="34" customWidth="1"/>
    <col min="15107" max="15107" width="19.44140625" style="34" customWidth="1"/>
    <col min="15108" max="15108" width="20.33203125" style="34" customWidth="1"/>
    <col min="15109" max="15109" width="18.6640625" style="34" customWidth="1"/>
    <col min="15110" max="15110" width="4" style="34" customWidth="1"/>
    <col min="15111" max="15111" width="12.5546875" style="34" customWidth="1"/>
    <col min="15112" max="15112" width="12.88671875" style="34" customWidth="1"/>
    <col min="15113" max="15114" width="11" style="34" customWidth="1"/>
    <col min="15115" max="15115" width="10.6640625" style="34" customWidth="1"/>
    <col min="15116" max="15116" width="10.5546875" style="34" customWidth="1"/>
    <col min="15117" max="15117" width="20" style="34" customWidth="1"/>
    <col min="15118" max="15118" width="23.109375" style="34" customWidth="1"/>
    <col min="15119" max="15119" width="18.109375" style="34" customWidth="1"/>
    <col min="15120" max="15120" width="32.44140625" style="34" customWidth="1"/>
    <col min="15121" max="15122" width="18.109375" style="34" customWidth="1"/>
    <col min="15123" max="15123" width="19.88671875" style="34" customWidth="1"/>
    <col min="15124" max="15124" width="19.6640625" style="34" customWidth="1"/>
    <col min="15125" max="15131" width="18.109375" style="34" customWidth="1"/>
    <col min="15132" max="15360" width="8.88671875" style="34"/>
    <col min="15361" max="15361" width="45" style="34" customWidth="1"/>
    <col min="15362" max="15362" width="19.33203125" style="34" customWidth="1"/>
    <col min="15363" max="15363" width="19.44140625" style="34" customWidth="1"/>
    <col min="15364" max="15364" width="20.33203125" style="34" customWidth="1"/>
    <col min="15365" max="15365" width="18.6640625" style="34" customWidth="1"/>
    <col min="15366" max="15366" width="4" style="34" customWidth="1"/>
    <col min="15367" max="15367" width="12.5546875" style="34" customWidth="1"/>
    <col min="15368" max="15368" width="12.88671875" style="34" customWidth="1"/>
    <col min="15369" max="15370" width="11" style="34" customWidth="1"/>
    <col min="15371" max="15371" width="10.6640625" style="34" customWidth="1"/>
    <col min="15372" max="15372" width="10.5546875" style="34" customWidth="1"/>
    <col min="15373" max="15373" width="20" style="34" customWidth="1"/>
    <col min="15374" max="15374" width="23.109375" style="34" customWidth="1"/>
    <col min="15375" max="15375" width="18.109375" style="34" customWidth="1"/>
    <col min="15376" max="15376" width="32.44140625" style="34" customWidth="1"/>
    <col min="15377" max="15378" width="18.109375" style="34" customWidth="1"/>
    <col min="15379" max="15379" width="19.88671875" style="34" customWidth="1"/>
    <col min="15380" max="15380" width="19.6640625" style="34" customWidth="1"/>
    <col min="15381" max="15387" width="18.109375" style="34" customWidth="1"/>
    <col min="15388" max="15616" width="8.88671875" style="34"/>
    <col min="15617" max="15617" width="45" style="34" customWidth="1"/>
    <col min="15618" max="15618" width="19.33203125" style="34" customWidth="1"/>
    <col min="15619" max="15619" width="19.44140625" style="34" customWidth="1"/>
    <col min="15620" max="15620" width="20.33203125" style="34" customWidth="1"/>
    <col min="15621" max="15621" width="18.6640625" style="34" customWidth="1"/>
    <col min="15622" max="15622" width="4" style="34" customWidth="1"/>
    <col min="15623" max="15623" width="12.5546875" style="34" customWidth="1"/>
    <col min="15624" max="15624" width="12.88671875" style="34" customWidth="1"/>
    <col min="15625" max="15626" width="11" style="34" customWidth="1"/>
    <col min="15627" max="15627" width="10.6640625" style="34" customWidth="1"/>
    <col min="15628" max="15628" width="10.5546875" style="34" customWidth="1"/>
    <col min="15629" max="15629" width="20" style="34" customWidth="1"/>
    <col min="15630" max="15630" width="23.109375" style="34" customWidth="1"/>
    <col min="15631" max="15631" width="18.109375" style="34" customWidth="1"/>
    <col min="15632" max="15632" width="32.44140625" style="34" customWidth="1"/>
    <col min="15633" max="15634" width="18.109375" style="34" customWidth="1"/>
    <col min="15635" max="15635" width="19.88671875" style="34" customWidth="1"/>
    <col min="15636" max="15636" width="19.6640625" style="34" customWidth="1"/>
    <col min="15637" max="15643" width="18.109375" style="34" customWidth="1"/>
    <col min="15644" max="15872" width="8.88671875" style="34"/>
    <col min="15873" max="15873" width="45" style="34" customWidth="1"/>
    <col min="15874" max="15874" width="19.33203125" style="34" customWidth="1"/>
    <col min="15875" max="15875" width="19.44140625" style="34" customWidth="1"/>
    <col min="15876" max="15876" width="20.33203125" style="34" customWidth="1"/>
    <col min="15877" max="15877" width="18.6640625" style="34" customWidth="1"/>
    <col min="15878" max="15878" width="4" style="34" customWidth="1"/>
    <col min="15879" max="15879" width="12.5546875" style="34" customWidth="1"/>
    <col min="15880" max="15880" width="12.88671875" style="34" customWidth="1"/>
    <col min="15881" max="15882" width="11" style="34" customWidth="1"/>
    <col min="15883" max="15883" width="10.6640625" style="34" customWidth="1"/>
    <col min="15884" max="15884" width="10.5546875" style="34" customWidth="1"/>
    <col min="15885" max="15885" width="20" style="34" customWidth="1"/>
    <col min="15886" max="15886" width="23.109375" style="34" customWidth="1"/>
    <col min="15887" max="15887" width="18.109375" style="34" customWidth="1"/>
    <col min="15888" max="15888" width="32.44140625" style="34" customWidth="1"/>
    <col min="15889" max="15890" width="18.109375" style="34" customWidth="1"/>
    <col min="15891" max="15891" width="19.88671875" style="34" customWidth="1"/>
    <col min="15892" max="15892" width="19.6640625" style="34" customWidth="1"/>
    <col min="15893" max="15899" width="18.109375" style="34" customWidth="1"/>
    <col min="15900" max="16128" width="8.88671875" style="34"/>
    <col min="16129" max="16129" width="45" style="34" customWidth="1"/>
    <col min="16130" max="16130" width="19.33203125" style="34" customWidth="1"/>
    <col min="16131" max="16131" width="19.44140625" style="34" customWidth="1"/>
    <col min="16132" max="16132" width="20.33203125" style="34" customWidth="1"/>
    <col min="16133" max="16133" width="18.6640625" style="34" customWidth="1"/>
    <col min="16134" max="16134" width="4" style="34" customWidth="1"/>
    <col min="16135" max="16135" width="12.5546875" style="34" customWidth="1"/>
    <col min="16136" max="16136" width="12.88671875" style="34" customWidth="1"/>
    <col min="16137" max="16138" width="11" style="34" customWidth="1"/>
    <col min="16139" max="16139" width="10.6640625" style="34" customWidth="1"/>
    <col min="16140" max="16140" width="10.5546875" style="34" customWidth="1"/>
    <col min="16141" max="16141" width="20" style="34" customWidth="1"/>
    <col min="16142" max="16142" width="23.109375" style="34" customWidth="1"/>
    <col min="16143" max="16143" width="18.109375" style="34" customWidth="1"/>
    <col min="16144" max="16144" width="32.44140625" style="34" customWidth="1"/>
    <col min="16145" max="16146" width="18.109375" style="34" customWidth="1"/>
    <col min="16147" max="16147" width="19.88671875" style="34" customWidth="1"/>
    <col min="16148" max="16148" width="19.6640625" style="34" customWidth="1"/>
    <col min="16149" max="16155" width="18.109375" style="34" customWidth="1"/>
    <col min="16156" max="16384" width="8.88671875" style="34"/>
  </cols>
  <sheetData>
    <row r="1" spans="1:20" ht="23.4" thickBot="1" x14ac:dyDescent="0.45">
      <c r="A1" s="32" t="s">
        <v>93</v>
      </c>
      <c r="B1" s="33"/>
    </row>
    <row r="4" spans="1:20" ht="13.8" thickBot="1" x14ac:dyDescent="0.3"/>
    <row r="5" spans="1:20" ht="18" thickBot="1" x14ac:dyDescent="0.35">
      <c r="A5" s="36"/>
      <c r="D5" s="37" t="s">
        <v>94</v>
      </c>
      <c r="E5" s="38"/>
      <c r="G5" s="39">
        <v>350</v>
      </c>
      <c r="H5" s="40" t="s">
        <v>95</v>
      </c>
      <c r="I5" s="35" t="s">
        <v>96</v>
      </c>
      <c r="J5" s="34" t="s">
        <v>97</v>
      </c>
      <c r="N5" s="34">
        <v>1</v>
      </c>
    </row>
    <row r="6" spans="1:20" ht="16.2" thickBot="1" x14ac:dyDescent="0.35">
      <c r="M6" s="23" t="s">
        <v>66</v>
      </c>
      <c r="N6" s="24" t="s">
        <v>98</v>
      </c>
    </row>
    <row r="7" spans="1:20" ht="16.2" thickBot="1" x14ac:dyDescent="0.35">
      <c r="D7" s="41" t="s">
        <v>99</v>
      </c>
      <c r="E7" s="42"/>
      <c r="M7" s="12" t="s">
        <v>65</v>
      </c>
      <c r="N7" s="25" t="s">
        <v>100</v>
      </c>
    </row>
    <row r="8" spans="1:20" ht="13.8" thickBot="1" x14ac:dyDescent="0.3">
      <c r="D8" s="43" t="s">
        <v>101</v>
      </c>
      <c r="E8" s="44" t="s">
        <v>102</v>
      </c>
      <c r="M8" s="22" t="s">
        <v>64</v>
      </c>
      <c r="N8" s="21">
        <v>1</v>
      </c>
      <c r="Q8" s="45"/>
    </row>
    <row r="9" spans="1:20" ht="18" thickBot="1" x14ac:dyDescent="0.35">
      <c r="B9" s="46" t="s">
        <v>103</v>
      </c>
      <c r="C9" s="46"/>
      <c r="D9" s="47">
        <v>2</v>
      </c>
      <c r="E9" s="48">
        <v>35</v>
      </c>
      <c r="G9" s="39">
        <f>E9*D9</f>
        <v>70</v>
      </c>
      <c r="H9" s="40" t="s">
        <v>104</v>
      </c>
      <c r="I9" s="35" t="s">
        <v>96</v>
      </c>
      <c r="J9" s="34" t="s">
        <v>105</v>
      </c>
      <c r="M9" s="14" t="s">
        <v>63</v>
      </c>
      <c r="N9" s="13">
        <v>1.1000000000000001</v>
      </c>
      <c r="P9" s="49" t="s">
        <v>106</v>
      </c>
      <c r="Q9" s="50"/>
      <c r="S9" s="31" t="s">
        <v>107</v>
      </c>
      <c r="T9" s="31"/>
    </row>
    <row r="10" spans="1:20" ht="15.6" x14ac:dyDescent="0.3">
      <c r="M10" s="14" t="s">
        <v>62</v>
      </c>
      <c r="N10" s="13">
        <v>1</v>
      </c>
      <c r="P10" s="51">
        <v>1000000</v>
      </c>
      <c r="Q10" s="52">
        <v>1</v>
      </c>
      <c r="S10" s="53"/>
      <c r="T10" s="19" t="s">
        <v>98</v>
      </c>
    </row>
    <row r="11" spans="1:20" ht="13.8" thickBot="1" x14ac:dyDescent="0.3">
      <c r="B11" s="46" t="s">
        <v>108</v>
      </c>
      <c r="M11" s="14" t="s">
        <v>61</v>
      </c>
      <c r="N11" s="13">
        <v>1</v>
      </c>
      <c r="P11" s="54">
        <f t="shared" ref="P11:P19" si="0">1000000+P10</f>
        <v>2000000</v>
      </c>
      <c r="Q11" s="55">
        <f>$Q$10+(P11-$P$10)/$P$10*0.5</f>
        <v>1.5</v>
      </c>
      <c r="S11" s="12" t="s">
        <v>65</v>
      </c>
      <c r="T11" s="18" t="s">
        <v>109</v>
      </c>
    </row>
    <row r="12" spans="1:20" ht="16.2" thickBot="1" x14ac:dyDescent="0.35">
      <c r="A12" s="56"/>
      <c r="B12" s="41" t="s">
        <v>110</v>
      </c>
      <c r="C12" s="57"/>
      <c r="D12" s="41" t="s">
        <v>111</v>
      </c>
      <c r="E12" s="57"/>
      <c r="I12" s="35" t="s">
        <v>112</v>
      </c>
      <c r="M12" s="14" t="s">
        <v>60</v>
      </c>
      <c r="N12" s="13">
        <v>1.2</v>
      </c>
      <c r="P12" s="54">
        <f t="shared" si="0"/>
        <v>3000000</v>
      </c>
      <c r="Q12" s="55">
        <f t="shared" ref="Q12:Q19" si="1">$Q$10+(P12-$P$10)/$P$10*0.5</f>
        <v>2</v>
      </c>
      <c r="S12" s="22" t="s">
        <v>64</v>
      </c>
      <c r="T12" s="21">
        <v>0.9</v>
      </c>
    </row>
    <row r="13" spans="1:20" ht="13.8" thickBot="1" x14ac:dyDescent="0.3">
      <c r="A13" s="58" t="s">
        <v>113</v>
      </c>
      <c r="B13" s="59" t="s">
        <v>114</v>
      </c>
      <c r="C13" s="60" t="s">
        <v>115</v>
      </c>
      <c r="D13" s="59" t="s">
        <v>114</v>
      </c>
      <c r="E13" s="60" t="s">
        <v>115</v>
      </c>
      <c r="G13" s="61" t="s">
        <v>102</v>
      </c>
      <c r="M13" s="14" t="s">
        <v>59</v>
      </c>
      <c r="N13" s="13">
        <v>1</v>
      </c>
      <c r="P13" s="54">
        <f t="shared" si="0"/>
        <v>4000000</v>
      </c>
      <c r="Q13" s="55">
        <f t="shared" si="1"/>
        <v>2.5</v>
      </c>
      <c r="S13" s="14" t="s">
        <v>63</v>
      </c>
      <c r="T13" s="13">
        <v>0.9</v>
      </c>
    </row>
    <row r="14" spans="1:20" ht="13.8" thickBot="1" x14ac:dyDescent="0.3">
      <c r="A14" s="62" t="s">
        <v>116</v>
      </c>
      <c r="B14" s="63">
        <v>1</v>
      </c>
      <c r="C14" s="64">
        <v>2</v>
      </c>
      <c r="D14" s="65">
        <v>35</v>
      </c>
      <c r="E14" s="66">
        <f>+D14*1.5</f>
        <v>52.5</v>
      </c>
      <c r="G14" s="66">
        <f t="shared" ref="G14:G19" si="2">B14*D14+C14*E14</f>
        <v>140</v>
      </c>
      <c r="M14" s="14" t="s">
        <v>58</v>
      </c>
      <c r="N14" s="13">
        <v>1</v>
      </c>
      <c r="P14" s="67">
        <f t="shared" si="0"/>
        <v>5000000</v>
      </c>
      <c r="Q14" s="68">
        <f t="shared" si="1"/>
        <v>3</v>
      </c>
      <c r="S14" s="14" t="s">
        <v>62</v>
      </c>
      <c r="T14" s="13">
        <v>0.9</v>
      </c>
    </row>
    <row r="15" spans="1:20" ht="13.8" thickBot="1" x14ac:dyDescent="0.3">
      <c r="A15" s="62" t="s">
        <v>117</v>
      </c>
      <c r="B15" s="69">
        <v>0</v>
      </c>
      <c r="C15" s="70">
        <v>0</v>
      </c>
      <c r="D15" s="71">
        <v>35</v>
      </c>
      <c r="E15" s="72">
        <f>+D15*1.5</f>
        <v>52.5</v>
      </c>
      <c r="G15" s="66">
        <f t="shared" si="2"/>
        <v>0</v>
      </c>
      <c r="M15" s="14" t="s">
        <v>57</v>
      </c>
      <c r="N15" s="13">
        <v>1</v>
      </c>
      <c r="P15" s="54">
        <f t="shared" si="0"/>
        <v>6000000</v>
      </c>
      <c r="Q15" s="55">
        <f t="shared" si="1"/>
        <v>3.5</v>
      </c>
      <c r="S15" s="14" t="s">
        <v>61</v>
      </c>
      <c r="T15" s="13">
        <v>0.9</v>
      </c>
    </row>
    <row r="16" spans="1:20" ht="13.8" thickBot="1" x14ac:dyDescent="0.3">
      <c r="A16" s="62" t="s">
        <v>118</v>
      </c>
      <c r="B16" s="69">
        <v>0</v>
      </c>
      <c r="C16" s="70">
        <v>0</v>
      </c>
      <c r="D16" s="71">
        <v>40</v>
      </c>
      <c r="E16" s="72">
        <f>+D16*1.5</f>
        <v>60</v>
      </c>
      <c r="G16" s="66">
        <f t="shared" si="2"/>
        <v>0</v>
      </c>
      <c r="M16" s="14" t="s">
        <v>56</v>
      </c>
      <c r="N16" s="13">
        <v>1</v>
      </c>
      <c r="P16" s="54">
        <f t="shared" si="0"/>
        <v>7000000</v>
      </c>
      <c r="Q16" s="55">
        <f t="shared" si="1"/>
        <v>4</v>
      </c>
      <c r="S16" s="14" t="s">
        <v>60</v>
      </c>
      <c r="T16" s="13">
        <v>0.9</v>
      </c>
    </row>
    <row r="17" spans="1:20" ht="13.8" thickBot="1" x14ac:dyDescent="0.3">
      <c r="A17" s="62" t="s">
        <v>119</v>
      </c>
      <c r="B17" s="69"/>
      <c r="C17" s="70"/>
      <c r="D17" s="71">
        <v>150</v>
      </c>
      <c r="E17" s="72">
        <f>+D17*2</f>
        <v>300</v>
      </c>
      <c r="G17" s="66">
        <f t="shared" si="2"/>
        <v>0</v>
      </c>
      <c r="M17" s="14" t="s">
        <v>55</v>
      </c>
      <c r="N17" s="13">
        <v>1.1000000000000001</v>
      </c>
      <c r="P17" s="54">
        <f t="shared" si="0"/>
        <v>8000000</v>
      </c>
      <c r="Q17" s="55">
        <f t="shared" si="1"/>
        <v>4.5</v>
      </c>
      <c r="S17" s="14" t="s">
        <v>59</v>
      </c>
      <c r="T17" s="13">
        <v>0.9</v>
      </c>
    </row>
    <row r="18" spans="1:20" ht="13.8" thickBot="1" x14ac:dyDescent="0.3">
      <c r="A18" s="62" t="s">
        <v>120</v>
      </c>
      <c r="B18" s="69"/>
      <c r="C18" s="70"/>
      <c r="D18" s="71">
        <v>180</v>
      </c>
      <c r="E18" s="72">
        <f>+D18*2</f>
        <v>360</v>
      </c>
      <c r="G18" s="66">
        <f t="shared" si="2"/>
        <v>0</v>
      </c>
      <c r="M18" s="14" t="s">
        <v>54</v>
      </c>
      <c r="N18" s="13">
        <v>1</v>
      </c>
      <c r="P18" s="54">
        <f t="shared" si="0"/>
        <v>9000000</v>
      </c>
      <c r="Q18" s="55">
        <f t="shared" si="1"/>
        <v>5</v>
      </c>
      <c r="S18" s="14" t="s">
        <v>58</v>
      </c>
      <c r="T18" s="13">
        <v>0.9</v>
      </c>
    </row>
    <row r="19" spans="1:20" ht="13.8" thickBot="1" x14ac:dyDescent="0.3">
      <c r="A19" s="62" t="s">
        <v>121</v>
      </c>
      <c r="B19" s="73"/>
      <c r="C19" s="74"/>
      <c r="D19" s="75">
        <v>180</v>
      </c>
      <c r="E19" s="76">
        <f>+D19*2</f>
        <v>360</v>
      </c>
      <c r="G19" s="77">
        <f t="shared" si="2"/>
        <v>0</v>
      </c>
      <c r="M19" s="14" t="s">
        <v>53</v>
      </c>
      <c r="N19" s="13">
        <v>1.2</v>
      </c>
      <c r="P19" s="78">
        <f t="shared" si="0"/>
        <v>10000000</v>
      </c>
      <c r="Q19" s="79">
        <f t="shared" si="1"/>
        <v>5.5</v>
      </c>
      <c r="S19" s="14" t="s">
        <v>57</v>
      </c>
      <c r="T19" s="13">
        <v>0.9</v>
      </c>
    </row>
    <row r="20" spans="1:20" ht="13.8" thickBot="1" x14ac:dyDescent="0.3">
      <c r="M20" s="14" t="s">
        <v>52</v>
      </c>
      <c r="N20" s="13">
        <v>1</v>
      </c>
      <c r="S20" s="14" t="s">
        <v>56</v>
      </c>
      <c r="T20" s="13">
        <v>0.9</v>
      </c>
    </row>
    <row r="21" spans="1:20" ht="18" thickBot="1" x14ac:dyDescent="0.35">
      <c r="C21" s="80"/>
      <c r="D21" s="81" t="s">
        <v>122</v>
      </c>
      <c r="G21" s="82">
        <f>SUM(G14:G19)</f>
        <v>140</v>
      </c>
      <c r="H21" s="40" t="s">
        <v>123</v>
      </c>
      <c r="M21" s="14" t="s">
        <v>51</v>
      </c>
      <c r="N21" s="13">
        <v>1</v>
      </c>
      <c r="P21" s="45"/>
      <c r="Q21" s="45"/>
      <c r="S21" s="14" t="s">
        <v>55</v>
      </c>
      <c r="T21" s="13">
        <v>0.9</v>
      </c>
    </row>
    <row r="22" spans="1:20" ht="16.2" thickBot="1" x14ac:dyDescent="0.35">
      <c r="M22" s="14" t="s">
        <v>50</v>
      </c>
      <c r="N22" s="13">
        <v>1.1000000000000001</v>
      </c>
      <c r="P22" s="49" t="s">
        <v>124</v>
      </c>
      <c r="Q22" s="83"/>
      <c r="S22" s="14" t="s">
        <v>54</v>
      </c>
      <c r="T22" s="13">
        <v>0.9</v>
      </c>
    </row>
    <row r="23" spans="1:20" ht="21" thickBot="1" x14ac:dyDescent="0.4">
      <c r="D23" s="84" t="s">
        <v>125</v>
      </c>
      <c r="E23" s="85"/>
      <c r="G23" s="86">
        <f>+G21+G9+G5</f>
        <v>560</v>
      </c>
      <c r="H23" s="40" t="s">
        <v>125</v>
      </c>
      <c r="I23" s="35" t="s">
        <v>126</v>
      </c>
      <c r="J23" s="34" t="s">
        <v>127</v>
      </c>
      <c r="M23" s="14" t="s">
        <v>49</v>
      </c>
      <c r="N23" s="13">
        <v>1</v>
      </c>
      <c r="P23" s="87" t="s">
        <v>128</v>
      </c>
      <c r="Q23" s="52">
        <v>1.1000000000000001</v>
      </c>
      <c r="S23" s="14" t="s">
        <v>53</v>
      </c>
      <c r="T23" s="13">
        <v>0.9</v>
      </c>
    </row>
    <row r="24" spans="1:20" ht="13.8" thickBot="1" x14ac:dyDescent="0.3">
      <c r="M24" s="14" t="s">
        <v>48</v>
      </c>
      <c r="N24" s="13">
        <v>1</v>
      </c>
      <c r="P24" s="88">
        <v>10000</v>
      </c>
      <c r="Q24" s="89">
        <v>1</v>
      </c>
      <c r="S24" s="14" t="s">
        <v>52</v>
      </c>
      <c r="T24" s="13">
        <v>0.9</v>
      </c>
    </row>
    <row r="25" spans="1:20" ht="13.8" thickBot="1" x14ac:dyDescent="0.3">
      <c r="M25" s="14" t="s">
        <v>47</v>
      </c>
      <c r="N25" s="13">
        <v>1</v>
      </c>
      <c r="S25" s="14" t="s">
        <v>51</v>
      </c>
      <c r="T25" s="13">
        <v>0.9</v>
      </c>
    </row>
    <row r="26" spans="1:20" ht="16.2" thickBot="1" x14ac:dyDescent="0.35">
      <c r="A26" s="90" t="s">
        <v>129</v>
      </c>
      <c r="B26" s="91" t="s">
        <v>40</v>
      </c>
      <c r="C26" s="92" t="s">
        <v>130</v>
      </c>
      <c r="G26" s="93">
        <f>VLOOKUP(B26,M8:N59,2)</f>
        <v>1</v>
      </c>
      <c r="I26" s="35" t="s">
        <v>131</v>
      </c>
      <c r="M26" s="14" t="s">
        <v>46</v>
      </c>
      <c r="N26" s="13">
        <v>1</v>
      </c>
      <c r="P26" s="31" t="s">
        <v>132</v>
      </c>
      <c r="Q26" s="31"/>
      <c r="S26" s="14" t="s">
        <v>50</v>
      </c>
      <c r="T26" s="13">
        <v>0.9</v>
      </c>
    </row>
    <row r="27" spans="1:20" ht="13.8" thickBot="1" x14ac:dyDescent="0.3">
      <c r="A27" s="94"/>
      <c r="B27" s="95" t="e">
        <f>VLOOKUP(#REF!,#REF!,2)</f>
        <v>#REF!</v>
      </c>
      <c r="G27" s="96"/>
      <c r="M27" s="14" t="s">
        <v>45</v>
      </c>
      <c r="N27" s="13">
        <v>1</v>
      </c>
      <c r="P27" s="20" t="s">
        <v>133</v>
      </c>
      <c r="Q27" s="19" t="s">
        <v>134</v>
      </c>
      <c r="S27" s="14" t="s">
        <v>49</v>
      </c>
      <c r="T27" s="13">
        <v>0.9</v>
      </c>
    </row>
    <row r="28" spans="1:20" ht="13.8" thickBot="1" x14ac:dyDescent="0.3">
      <c r="A28" s="90" t="s">
        <v>0</v>
      </c>
      <c r="B28" s="97" t="s">
        <v>27</v>
      </c>
      <c r="C28" s="92" t="s">
        <v>130</v>
      </c>
      <c r="G28" s="93">
        <f>VLOOKUP(B28,P46:Q50,2)</f>
        <v>1</v>
      </c>
      <c r="I28" s="35" t="s">
        <v>131</v>
      </c>
      <c r="M28" s="14" t="s">
        <v>44</v>
      </c>
      <c r="N28" s="13">
        <v>1</v>
      </c>
      <c r="P28" s="2" t="s">
        <v>135</v>
      </c>
      <c r="Q28" s="18" t="s">
        <v>109</v>
      </c>
      <c r="S28" s="14" t="s">
        <v>48</v>
      </c>
      <c r="T28" s="13">
        <v>0.9</v>
      </c>
    </row>
    <row r="29" spans="1:20" ht="13.8" thickBot="1" x14ac:dyDescent="0.3">
      <c r="G29" s="96"/>
      <c r="M29" s="14" t="s">
        <v>43</v>
      </c>
      <c r="N29" s="13">
        <v>1</v>
      </c>
      <c r="P29" s="98">
        <v>1</v>
      </c>
      <c r="Q29" s="99">
        <v>0.5</v>
      </c>
      <c r="S29" s="14" t="s">
        <v>47</v>
      </c>
      <c r="T29" s="13">
        <v>0.9</v>
      </c>
    </row>
    <row r="30" spans="1:20" ht="13.8" thickBot="1" x14ac:dyDescent="0.3">
      <c r="A30" s="90" t="s">
        <v>136</v>
      </c>
      <c r="B30" s="97">
        <v>10</v>
      </c>
      <c r="C30" s="92" t="s">
        <v>130</v>
      </c>
      <c r="G30" s="93">
        <f>VLOOKUP(B30,P29:Q38,2)</f>
        <v>1.5</v>
      </c>
      <c r="I30" s="35" t="s">
        <v>131</v>
      </c>
      <c r="M30" s="14" t="s">
        <v>42</v>
      </c>
      <c r="N30" s="13">
        <v>1</v>
      </c>
      <c r="P30" s="4">
        <f>P29+1</f>
        <v>2</v>
      </c>
      <c r="Q30" s="99">
        <v>0.65</v>
      </c>
      <c r="S30" s="14" t="s">
        <v>46</v>
      </c>
      <c r="T30" s="13">
        <v>0.9</v>
      </c>
    </row>
    <row r="31" spans="1:20" x14ac:dyDescent="0.25">
      <c r="A31" s="90"/>
      <c r="B31" s="100"/>
      <c r="G31" s="96"/>
      <c r="M31" s="14" t="s">
        <v>41</v>
      </c>
      <c r="N31" s="13">
        <v>1</v>
      </c>
      <c r="P31" s="4">
        <f t="shared" ref="P31:P38" si="3">P30+1</f>
        <v>3</v>
      </c>
      <c r="Q31" s="99">
        <v>0.78</v>
      </c>
      <c r="S31" s="14" t="s">
        <v>45</v>
      </c>
      <c r="T31" s="13">
        <v>0.9</v>
      </c>
    </row>
    <row r="32" spans="1:20" x14ac:dyDescent="0.25">
      <c r="M32" s="14" t="s">
        <v>40</v>
      </c>
      <c r="N32" s="13">
        <v>1</v>
      </c>
      <c r="P32" s="4">
        <f t="shared" si="3"/>
        <v>4</v>
      </c>
      <c r="Q32" s="99">
        <v>0.9</v>
      </c>
      <c r="S32" s="14" t="s">
        <v>44</v>
      </c>
      <c r="T32" s="13">
        <v>0.9</v>
      </c>
    </row>
    <row r="33" spans="1:20" x14ac:dyDescent="0.25">
      <c r="M33" s="14" t="s">
        <v>39</v>
      </c>
      <c r="N33" s="13">
        <v>1</v>
      </c>
      <c r="P33" s="4">
        <f t="shared" si="3"/>
        <v>5</v>
      </c>
      <c r="Q33" s="99">
        <v>1</v>
      </c>
      <c r="S33" s="14" t="s">
        <v>43</v>
      </c>
      <c r="T33" s="13">
        <v>0.9</v>
      </c>
    </row>
    <row r="34" spans="1:20" x14ac:dyDescent="0.25">
      <c r="A34" s="101" t="s">
        <v>137</v>
      </c>
      <c r="I34" s="102"/>
      <c r="M34" s="14" t="s">
        <v>38</v>
      </c>
      <c r="N34" s="13">
        <v>1</v>
      </c>
      <c r="P34" s="4">
        <f t="shared" si="3"/>
        <v>6</v>
      </c>
      <c r="Q34" s="99">
        <v>1.1000000000000001</v>
      </c>
      <c r="S34" s="14" t="s">
        <v>42</v>
      </c>
      <c r="T34" s="13">
        <v>0.9</v>
      </c>
    </row>
    <row r="35" spans="1:20" x14ac:dyDescent="0.25">
      <c r="A35" s="103" t="s">
        <v>138</v>
      </c>
      <c r="B35" s="104" t="s">
        <v>139</v>
      </c>
      <c r="C35" s="92" t="s">
        <v>130</v>
      </c>
      <c r="F35" s="105"/>
      <c r="G35" s="93">
        <f>IF(B35="Agency",1,VLOOKUP(B26,S12:T63,2))</f>
        <v>1</v>
      </c>
      <c r="H35" s="105"/>
      <c r="I35" s="106" t="s">
        <v>140</v>
      </c>
      <c r="J35" s="105"/>
      <c r="K35" s="105"/>
      <c r="L35" s="105"/>
      <c r="M35" s="14" t="s">
        <v>37</v>
      </c>
      <c r="N35" s="13">
        <v>1</v>
      </c>
      <c r="P35" s="4">
        <f t="shared" si="3"/>
        <v>7</v>
      </c>
      <c r="Q35" s="99">
        <v>1.2</v>
      </c>
      <c r="S35" s="14" t="s">
        <v>41</v>
      </c>
      <c r="T35" s="13">
        <v>0.9</v>
      </c>
    </row>
    <row r="36" spans="1:20" x14ac:dyDescent="0.25">
      <c r="A36" s="90" t="s">
        <v>141</v>
      </c>
      <c r="B36" s="104" t="s">
        <v>142</v>
      </c>
      <c r="C36" s="92" t="s">
        <v>130</v>
      </c>
      <c r="G36" s="93">
        <f>VLOOKUP(B36,P89:Q90,2)</f>
        <v>1</v>
      </c>
      <c r="I36" s="35" t="s">
        <v>131</v>
      </c>
      <c r="M36" s="14" t="s">
        <v>36</v>
      </c>
      <c r="N36" s="13">
        <v>1</v>
      </c>
      <c r="P36" s="4">
        <f t="shared" si="3"/>
        <v>8</v>
      </c>
      <c r="Q36" s="99">
        <v>1.28</v>
      </c>
      <c r="S36" s="14" t="s">
        <v>40</v>
      </c>
      <c r="T36" s="13">
        <v>1</v>
      </c>
    </row>
    <row r="37" spans="1:20" x14ac:dyDescent="0.25">
      <c r="A37" s="90" t="s">
        <v>143</v>
      </c>
      <c r="B37" s="104" t="s">
        <v>1</v>
      </c>
      <c r="C37" s="92" t="s">
        <v>130</v>
      </c>
      <c r="F37" s="107"/>
      <c r="G37" s="93">
        <f>IF(B26="NJ",1,VLOOKUP(B37,P53:Q57,2))</f>
        <v>0.85</v>
      </c>
      <c r="H37" s="107"/>
      <c r="I37" s="35" t="s">
        <v>131</v>
      </c>
      <c r="J37" s="107"/>
      <c r="K37" s="107"/>
      <c r="L37" s="107"/>
      <c r="M37" s="14" t="s">
        <v>35</v>
      </c>
      <c r="N37" s="13">
        <v>1</v>
      </c>
      <c r="P37" s="4">
        <f t="shared" si="3"/>
        <v>9</v>
      </c>
      <c r="Q37" s="99">
        <v>1.38</v>
      </c>
      <c r="S37" s="14" t="s">
        <v>39</v>
      </c>
      <c r="T37" s="13">
        <v>0.9</v>
      </c>
    </row>
    <row r="38" spans="1:20" ht="13.8" thickBot="1" x14ac:dyDescent="0.3">
      <c r="H38" s="108"/>
      <c r="I38" s="109"/>
      <c r="J38" s="108"/>
      <c r="K38" s="108"/>
      <c r="L38" s="108"/>
      <c r="M38" s="14" t="s">
        <v>34</v>
      </c>
      <c r="N38" s="13">
        <v>1</v>
      </c>
      <c r="P38" s="2">
        <f t="shared" si="3"/>
        <v>10</v>
      </c>
      <c r="Q38" s="110">
        <v>1.5</v>
      </c>
      <c r="S38" s="14" t="s">
        <v>38</v>
      </c>
      <c r="T38" s="13">
        <v>0.9</v>
      </c>
    </row>
    <row r="39" spans="1:20" ht="17.399999999999999" x14ac:dyDescent="0.3">
      <c r="H39" s="40" t="s">
        <v>144</v>
      </c>
      <c r="I39" s="111" t="s">
        <v>126</v>
      </c>
      <c r="J39" s="107">
        <f>G23*(G26*G28*G30*G35*G36*G37)</f>
        <v>714</v>
      </c>
      <c r="K39" s="107"/>
      <c r="L39" s="107"/>
      <c r="M39" s="14" t="s">
        <v>32</v>
      </c>
      <c r="N39" s="13">
        <v>1.1000000000000001</v>
      </c>
      <c r="S39" s="14" t="s">
        <v>37</v>
      </c>
      <c r="T39" s="13">
        <v>0.9</v>
      </c>
    </row>
    <row r="40" spans="1:20" x14ac:dyDescent="0.25">
      <c r="H40" s="85" t="s">
        <v>145</v>
      </c>
      <c r="I40" s="35" t="s">
        <v>131</v>
      </c>
      <c r="M40" s="14" t="s">
        <v>31</v>
      </c>
      <c r="N40" s="13">
        <v>1</v>
      </c>
      <c r="S40" s="14" t="s">
        <v>36</v>
      </c>
      <c r="T40" s="13">
        <v>0.9</v>
      </c>
    </row>
    <row r="41" spans="1:20" ht="13.8" thickBot="1" x14ac:dyDescent="0.3">
      <c r="F41" s="107"/>
      <c r="G41" s="107"/>
      <c r="H41" s="107" t="s">
        <v>146</v>
      </c>
      <c r="I41" s="35" t="s">
        <v>131</v>
      </c>
      <c r="J41" s="107"/>
      <c r="K41" s="107"/>
      <c r="L41" s="107"/>
      <c r="M41" s="14" t="s">
        <v>30</v>
      </c>
      <c r="N41" s="13">
        <v>1</v>
      </c>
      <c r="S41" s="14" t="s">
        <v>35</v>
      </c>
      <c r="T41" s="13">
        <v>0.9</v>
      </c>
    </row>
    <row r="42" spans="1:20" ht="18" thickBot="1" x14ac:dyDescent="0.3">
      <c r="B42" s="112" t="s">
        <v>147</v>
      </c>
      <c r="C42" s="113"/>
      <c r="M42" s="14" t="s">
        <v>28</v>
      </c>
      <c r="N42" s="13">
        <v>1.1000000000000001</v>
      </c>
      <c r="S42" s="14" t="s">
        <v>34</v>
      </c>
      <c r="T42" s="13">
        <v>0.9</v>
      </c>
    </row>
    <row r="43" spans="1:20" ht="18" thickBot="1" x14ac:dyDescent="0.35">
      <c r="A43" s="114" t="s">
        <v>148</v>
      </c>
      <c r="B43" s="115" t="s">
        <v>128</v>
      </c>
      <c r="C43" s="116">
        <v>10000</v>
      </c>
      <c r="H43" s="85" t="s">
        <v>149</v>
      </c>
      <c r="M43" s="14" t="s">
        <v>26</v>
      </c>
      <c r="N43" s="13">
        <v>1</v>
      </c>
      <c r="P43" s="31" t="s">
        <v>33</v>
      </c>
      <c r="Q43" s="31"/>
      <c r="S43" s="14" t="s">
        <v>32</v>
      </c>
      <c r="T43" s="13">
        <v>0.9</v>
      </c>
    </row>
    <row r="44" spans="1:20" ht="17.399999999999999" x14ac:dyDescent="0.3">
      <c r="A44" s="117">
        <v>1000000</v>
      </c>
      <c r="B44" s="118">
        <f>MAX(VLOOKUP($A$44,$M$71:$N$80,2),PRODUCT($G$23:$G$37)*VLOOKUP($B$43,$P$23:$Q$24,2))</f>
        <v>785.40000000000009</v>
      </c>
      <c r="C44" s="118">
        <f>MAX(VLOOKUP($A$44,$M$71:$N$80,2),PRODUCT($G$23:$G$37)*VLOOKUP($C$43,$P$23:$Q$24,2))</f>
        <v>714</v>
      </c>
      <c r="M44" s="14" t="s">
        <v>24</v>
      </c>
      <c r="N44" s="13">
        <v>1</v>
      </c>
      <c r="P44" s="20"/>
      <c r="Q44" s="19" t="s">
        <v>134</v>
      </c>
      <c r="S44" s="14" t="s">
        <v>31</v>
      </c>
      <c r="T44" s="13">
        <v>0.9</v>
      </c>
    </row>
    <row r="45" spans="1:20" ht="18" thickBot="1" x14ac:dyDescent="0.35">
      <c r="A45" s="119">
        <v>2000000</v>
      </c>
      <c r="B45" s="120">
        <f>MAX(VLOOKUP($A$45,$M$71:$N$80,2)+$B$44,PRODUCT($G$23:$G$37)*VLOOKUP($A45,$P$10:$Q$19,2)*VLOOKUP($B$43,$P$23:$Q$24,2))</f>
        <v>1178.1000000000001</v>
      </c>
      <c r="C45" s="120">
        <f>MAX(VLOOKUP($A$45,$M$71:$N$80,2)+$C$44,PRODUCT($G$23:$G$37)*VLOOKUP($A45,$P$10:$Q$19,2)*VLOOKUP($C$43,$P$23:$Q$24,2))</f>
        <v>1071</v>
      </c>
      <c r="M45" s="14" t="s">
        <v>22</v>
      </c>
      <c r="N45" s="13">
        <v>1</v>
      </c>
      <c r="P45" s="2" t="s">
        <v>0</v>
      </c>
      <c r="Q45" s="18" t="s">
        <v>109</v>
      </c>
      <c r="S45" s="14" t="s">
        <v>30</v>
      </c>
      <c r="T45" s="13">
        <v>0.9</v>
      </c>
    </row>
    <row r="46" spans="1:20" ht="17.399999999999999" x14ac:dyDescent="0.3">
      <c r="A46" s="119">
        <v>3000000</v>
      </c>
      <c r="B46" s="120">
        <f>MAX(VLOOKUP($A$46,$M$71:$N$80,2)+$B$44,PRODUCT($G$23:$G$37)*VLOOKUP($A46,$P$10:$Q$19,2)*VLOOKUP($B$43,$P$23:$Q$24,2))</f>
        <v>1570.8000000000002</v>
      </c>
      <c r="C46" s="120">
        <f>MAX(VLOOKUP($A$46,$M$71:$N$80,2)+$C$44,PRODUCT($G$23:$G$37)*VLOOKUP($A46,$P$10:$Q$19,2)*VLOOKUP($C$43,$P$23:$Q$24,2))</f>
        <v>1428</v>
      </c>
      <c r="M46" s="14" t="s">
        <v>20</v>
      </c>
      <c r="N46" s="13">
        <v>1</v>
      </c>
      <c r="P46" s="4" t="s">
        <v>29</v>
      </c>
      <c r="Q46" s="3">
        <v>1.28</v>
      </c>
      <c r="S46" s="14" t="s">
        <v>28</v>
      </c>
      <c r="T46" s="13">
        <v>0.9</v>
      </c>
    </row>
    <row r="47" spans="1:20" ht="17.399999999999999" x14ac:dyDescent="0.3">
      <c r="A47" s="119">
        <v>4000000</v>
      </c>
      <c r="B47" s="120">
        <f>MAX(VLOOKUP(A47,$M$71:$N$80,2)+$B$44,PRODUCT($G$23:$G$37)*VLOOKUP($A47,$P$10:$Q$19,2)*VLOOKUP($B$43,$P$23:$Q$24,2))</f>
        <v>1963.5000000000002</v>
      </c>
      <c r="C47" s="120">
        <f>MAX(VLOOKUP($A$47,$M$71:$N$80,2)+$C$44,PRODUCT($G$23:$G$37)*VLOOKUP($A47,$P$10:$Q$19,2)*VLOOKUP($C$43,$P$23:$Q$24,2))</f>
        <v>1785</v>
      </c>
      <c r="M47" s="14" t="s">
        <v>19</v>
      </c>
      <c r="N47" s="13">
        <v>1</v>
      </c>
      <c r="P47" s="4" t="s">
        <v>27</v>
      </c>
      <c r="Q47" s="3">
        <v>1</v>
      </c>
      <c r="S47" s="14" t="s">
        <v>26</v>
      </c>
      <c r="T47" s="13">
        <v>0.9</v>
      </c>
    </row>
    <row r="48" spans="1:20" ht="17.399999999999999" x14ac:dyDescent="0.3">
      <c r="A48" s="119">
        <v>5000000</v>
      </c>
      <c r="B48" s="120">
        <f>MAX(VLOOKUP(A48,$M$71:$N$80,2)+$B$44, PRODUCT($G$23:$G$37)*VLOOKUP($A48,$P$10:$Q$19,2)*VLOOKUP($B$43,$P$23:$Q$24,2))</f>
        <v>2356.2000000000003</v>
      </c>
      <c r="C48" s="120">
        <f>MAX(VLOOKUP($A$48,$M$71:$N$80,2)+$C$44,PRODUCT($G$23:$G$37)*VLOOKUP($A48,$P$10:$Q$19,2)*VLOOKUP($C$43,$P$23:$Q$24,2))</f>
        <v>2142</v>
      </c>
      <c r="M48" s="14" t="s">
        <v>18</v>
      </c>
      <c r="N48" s="13">
        <v>1</v>
      </c>
      <c r="P48" s="4" t="s">
        <v>25</v>
      </c>
      <c r="Q48" s="3">
        <v>1.1399999999999999</v>
      </c>
      <c r="S48" s="14" t="s">
        <v>24</v>
      </c>
      <c r="T48" s="13">
        <v>0.9</v>
      </c>
    </row>
    <row r="49" spans="1:20" ht="17.399999999999999" x14ac:dyDescent="0.3">
      <c r="A49" s="119">
        <v>6000000</v>
      </c>
      <c r="B49" s="120">
        <f>MAX(VLOOKUP(A49,$M$71:$N$80,2)+$B$44,PRODUCT($G$23:$G$37)*VLOOKUP($A49,$P$10:$Q$19,2)*VLOOKUP($B$43,$P$23:$Q$24,2))</f>
        <v>2748.9</v>
      </c>
      <c r="C49" s="120">
        <f>MAX(VLOOKUP($A$49,$M$71:$N$80,2)+$C$44,PRODUCT($G$23:$G$37)*VLOOKUP($A49,$P$10:$Q$19,2)*VLOOKUP($C$43,$P$23:$Q$24,2))</f>
        <v>2499</v>
      </c>
      <c r="F49" s="107"/>
      <c r="G49" s="107"/>
      <c r="H49" s="107"/>
      <c r="I49" s="111"/>
      <c r="J49" s="107"/>
      <c r="K49" s="107"/>
      <c r="L49" s="107"/>
      <c r="M49" s="14" t="s">
        <v>16</v>
      </c>
      <c r="N49" s="13">
        <v>1</v>
      </c>
      <c r="P49" s="4" t="s">
        <v>23</v>
      </c>
      <c r="Q49" s="3">
        <v>1.28</v>
      </c>
      <c r="S49" s="14" t="s">
        <v>22</v>
      </c>
      <c r="T49" s="13">
        <v>0.9</v>
      </c>
    </row>
    <row r="50" spans="1:20" ht="18" thickBot="1" x14ac:dyDescent="0.35">
      <c r="A50" s="119">
        <v>7000000</v>
      </c>
      <c r="B50" s="120">
        <f>MAX(VLOOKUP(A50,$M$71:$N$80,2)+$B$44,PRODUCT($G$23:$G$37)*VLOOKUP($A50,$P$10:$Q$19,2)*VLOOKUP($B$43,$P$23:$Q$24,2))</f>
        <v>3141.6000000000004</v>
      </c>
      <c r="C50" s="120">
        <f>MAX(VLOOKUP($A$50,$M$71:$N$80,2)+$C$44,PRODUCT($G$23:$G$37)*VLOOKUP($A50,$P$10:$Q$19,2)*VLOOKUP($C$43,$P$23:$Q$24,2))</f>
        <v>2856</v>
      </c>
      <c r="M50" s="14" t="s">
        <v>14</v>
      </c>
      <c r="N50" s="13">
        <v>1</v>
      </c>
      <c r="P50" s="2" t="s">
        <v>21</v>
      </c>
      <c r="Q50" s="1">
        <v>1.28</v>
      </c>
      <c r="S50" s="14" t="s">
        <v>20</v>
      </c>
      <c r="T50" s="13">
        <v>0.9</v>
      </c>
    </row>
    <row r="51" spans="1:20" ht="18" thickBot="1" x14ac:dyDescent="0.35">
      <c r="A51" s="119">
        <v>8000000</v>
      </c>
      <c r="B51" s="120">
        <f>MAX(VLOOKUP(A51,$M$71:$N$80,2)+$B$44,PRODUCT($G$23:$G$37)*VLOOKUP($A51,$P$10:$Q$19,2)*VLOOKUP($B$43,$P$23:$Q$24,2))</f>
        <v>3534.3</v>
      </c>
      <c r="C51" s="120">
        <f>MAX(VLOOKUP($A$51,$M$71:$N$80,2)+$C$44,PRODUCT($G$23:$G$37)*VLOOKUP($A51,$P$10:$Q$19,2)*VLOOKUP($C$43,$P$23:$Q$24,2))</f>
        <v>3213</v>
      </c>
      <c r="G51" s="121"/>
      <c r="H51" s="121"/>
      <c r="I51" s="122"/>
      <c r="J51" s="121"/>
      <c r="K51" s="121"/>
      <c r="L51" s="121"/>
      <c r="M51" s="14" t="s">
        <v>13</v>
      </c>
      <c r="N51" s="13">
        <v>1</v>
      </c>
      <c r="S51" s="14" t="s">
        <v>19</v>
      </c>
      <c r="T51" s="13">
        <v>0.9</v>
      </c>
    </row>
    <row r="52" spans="1:20" ht="18" thickBot="1" x14ac:dyDescent="0.35">
      <c r="A52" s="119">
        <v>9000000</v>
      </c>
      <c r="B52" s="120">
        <f>MAX(VLOOKUP(A52,$M$71:$N$80,2)+$B$44,PRODUCT($G$23:$G$37)*VLOOKUP($A52,$P$10:$Q$19,2)*VLOOKUP($B$43,$P$23:$Q$24,2))</f>
        <v>3927.0000000000005</v>
      </c>
      <c r="C52" s="120">
        <f>MAX(VLOOKUP($A$52,$M$71:$N$80,2)+$C$44,PRODUCT($G$23:$G$37)*VLOOKUP($A52,$P$10:$Q$19,2)*VLOOKUP($C$43,$P$23:$Q$24,2))</f>
        <v>3570</v>
      </c>
      <c r="G52" s="123"/>
      <c r="H52" s="123"/>
      <c r="I52" s="124"/>
      <c r="J52" s="123"/>
      <c r="K52" s="123"/>
      <c r="L52" s="123"/>
      <c r="M52" s="14" t="s">
        <v>11</v>
      </c>
      <c r="N52" s="13">
        <v>1.2</v>
      </c>
      <c r="P52" s="10" t="s">
        <v>150</v>
      </c>
      <c r="Q52" s="9"/>
      <c r="S52" s="14" t="s">
        <v>18</v>
      </c>
      <c r="T52" s="13">
        <v>0.9</v>
      </c>
    </row>
    <row r="53" spans="1:20" ht="18" thickBot="1" x14ac:dyDescent="0.35">
      <c r="A53" s="125">
        <v>10000000</v>
      </c>
      <c r="B53" s="126">
        <f>MAX(VLOOKUP(A53,$M$71:$N$80,2)+$B$44,PRODUCT($G$23:$G$37)*VLOOKUP($A53,$P$10:$Q$19,2)*VLOOKUP($B$43,$P$23:$Q$24,2))</f>
        <v>4319.7000000000007</v>
      </c>
      <c r="C53" s="126">
        <f>MAX(VLOOKUP($A$53,$M$71:$N$80,2)+$C$44,PRODUCT($G$23:$G$37)*VLOOKUP($A53,$P$10:$Q$19,2)*VLOOKUP($C$43,$P$23:$Q$24,2))</f>
        <v>3927</v>
      </c>
      <c r="G53" s="100"/>
      <c r="H53" s="100"/>
      <c r="I53" s="127"/>
      <c r="J53" s="100"/>
      <c r="K53" s="100"/>
      <c r="L53" s="100"/>
      <c r="M53" s="14" t="s">
        <v>9</v>
      </c>
      <c r="N53" s="13">
        <v>1</v>
      </c>
      <c r="P53" s="17" t="s">
        <v>17</v>
      </c>
      <c r="Q53" s="16">
        <v>1.1000000000000001</v>
      </c>
      <c r="S53" s="14" t="s">
        <v>16</v>
      </c>
      <c r="T53" s="13">
        <v>0.9</v>
      </c>
    </row>
    <row r="54" spans="1:20" ht="17.399999999999999" x14ac:dyDescent="0.3">
      <c r="G54" s="128"/>
      <c r="H54" s="128"/>
      <c r="I54" s="129"/>
      <c r="J54" s="128"/>
      <c r="K54" s="128"/>
      <c r="L54" s="128"/>
      <c r="M54" s="14" t="s">
        <v>8</v>
      </c>
      <c r="N54" s="13">
        <v>1</v>
      </c>
      <c r="P54" s="15" t="s">
        <v>15</v>
      </c>
      <c r="Q54" s="7">
        <v>0.95</v>
      </c>
      <c r="S54" s="14" t="s">
        <v>14</v>
      </c>
      <c r="T54" s="13">
        <v>0.9</v>
      </c>
    </row>
    <row r="55" spans="1:20" ht="13.8" thickBot="1" x14ac:dyDescent="0.3">
      <c r="M55" s="14" t="s">
        <v>7</v>
      </c>
      <c r="N55" s="13">
        <v>1</v>
      </c>
      <c r="P55" s="15" t="s">
        <v>1</v>
      </c>
      <c r="Q55" s="7">
        <v>0.85</v>
      </c>
      <c r="S55" s="14" t="s">
        <v>13</v>
      </c>
      <c r="T55" s="13">
        <v>0.9</v>
      </c>
    </row>
    <row r="56" spans="1:20" ht="18" thickBot="1" x14ac:dyDescent="0.35">
      <c r="A56" s="130" t="s">
        <v>151</v>
      </c>
      <c r="B56" s="131" t="s">
        <v>152</v>
      </c>
      <c r="C56" s="132" t="s">
        <v>130</v>
      </c>
      <c r="M56" s="14" t="s">
        <v>6</v>
      </c>
      <c r="N56" s="13">
        <v>1</v>
      </c>
      <c r="P56" s="8" t="s">
        <v>12</v>
      </c>
      <c r="Q56" s="7">
        <v>1.2</v>
      </c>
      <c r="S56" s="14" t="s">
        <v>11</v>
      </c>
      <c r="T56" s="13">
        <v>0.9</v>
      </c>
    </row>
    <row r="57" spans="1:20" ht="21.6" thickBot="1" x14ac:dyDescent="0.45">
      <c r="A57" s="133" t="s">
        <v>153</v>
      </c>
      <c r="M57" s="14" t="s">
        <v>5</v>
      </c>
      <c r="N57" s="13">
        <v>1</v>
      </c>
      <c r="P57" s="6" t="s">
        <v>10</v>
      </c>
      <c r="Q57" s="5">
        <v>1</v>
      </c>
      <c r="S57" s="14" t="s">
        <v>9</v>
      </c>
      <c r="T57" s="13">
        <v>0.9</v>
      </c>
    </row>
    <row r="58" spans="1:20" ht="17.399999999999999" x14ac:dyDescent="0.3">
      <c r="A58" s="134" t="s">
        <v>154</v>
      </c>
      <c r="B58" s="135">
        <v>1000000</v>
      </c>
      <c r="C58" s="132" t="s">
        <v>130</v>
      </c>
      <c r="G58" s="136" t="s">
        <v>128</v>
      </c>
      <c r="H58" s="137">
        <v>2</v>
      </c>
      <c r="M58" s="14" t="s">
        <v>4</v>
      </c>
      <c r="N58" s="13">
        <v>1</v>
      </c>
      <c r="S58" s="14" t="s">
        <v>8</v>
      </c>
      <c r="T58" s="13">
        <v>0.9</v>
      </c>
    </row>
    <row r="59" spans="1:20" ht="18" thickBot="1" x14ac:dyDescent="0.35">
      <c r="A59" s="134" t="s">
        <v>155</v>
      </c>
      <c r="B59" s="135">
        <v>10000</v>
      </c>
      <c r="C59" s="132" t="s">
        <v>130</v>
      </c>
      <c r="G59" s="136">
        <v>10000</v>
      </c>
      <c r="H59" s="137">
        <v>3</v>
      </c>
      <c r="M59" s="12" t="s">
        <v>3</v>
      </c>
      <c r="N59" s="11">
        <v>1</v>
      </c>
      <c r="S59" s="14" t="s">
        <v>7</v>
      </c>
      <c r="T59" s="13">
        <v>0.9</v>
      </c>
    </row>
    <row r="60" spans="1:20" ht="13.8" thickBot="1" x14ac:dyDescent="0.3">
      <c r="A60" s="56"/>
      <c r="B60" s="138"/>
      <c r="P60" s="10" t="s">
        <v>156</v>
      </c>
      <c r="Q60" s="9"/>
      <c r="S60" s="14" t="s">
        <v>6</v>
      </c>
      <c r="T60" s="13">
        <v>0.9</v>
      </c>
    </row>
    <row r="61" spans="1:20" ht="23.4" thickBot="1" x14ac:dyDescent="0.45">
      <c r="A61" s="139" t="s">
        <v>157</v>
      </c>
      <c r="B61" s="140">
        <f>IF(B56="No",0,VLOOKUP(B58,A44:C53,VLOOKUP(B59,G58:H59,2,FALSE)))</f>
        <v>714</v>
      </c>
      <c r="G61" s="34" t="s">
        <v>142</v>
      </c>
      <c r="P61" s="8" t="s">
        <v>158</v>
      </c>
      <c r="Q61" s="7">
        <v>35</v>
      </c>
      <c r="S61" s="14" t="s">
        <v>5</v>
      </c>
      <c r="T61" s="13">
        <v>0.9</v>
      </c>
    </row>
    <row r="62" spans="1:20" x14ac:dyDescent="0.25">
      <c r="G62" s="34" t="s">
        <v>152</v>
      </c>
      <c r="P62" s="8" t="s">
        <v>159</v>
      </c>
      <c r="Q62" s="7">
        <v>35</v>
      </c>
      <c r="S62" s="14" t="s">
        <v>4</v>
      </c>
      <c r="T62" s="13">
        <v>0.9</v>
      </c>
    </row>
    <row r="63" spans="1:20" ht="13.8" thickBot="1" x14ac:dyDescent="0.3">
      <c r="P63" s="8" t="s">
        <v>160</v>
      </c>
      <c r="Q63" s="7">
        <v>40</v>
      </c>
      <c r="S63" s="12" t="s">
        <v>3</v>
      </c>
      <c r="T63" s="11">
        <v>0.9</v>
      </c>
    </row>
    <row r="64" spans="1:20" ht="13.8" thickBot="1" x14ac:dyDescent="0.3">
      <c r="P64" s="6" t="s">
        <v>161</v>
      </c>
      <c r="Q64" s="5">
        <v>150</v>
      </c>
    </row>
    <row r="65" spans="12:17" ht="13.8" thickBot="1" x14ac:dyDescent="0.3">
      <c r="P65" s="6" t="s">
        <v>162</v>
      </c>
      <c r="Q65" s="5">
        <v>180</v>
      </c>
    </row>
    <row r="66" spans="12:17" ht="13.8" thickBot="1" x14ac:dyDescent="0.3">
      <c r="O66" s="141"/>
      <c r="P66" s="6" t="s">
        <v>163</v>
      </c>
      <c r="Q66" s="5">
        <v>180</v>
      </c>
    </row>
    <row r="67" spans="12:17" x14ac:dyDescent="0.25">
      <c r="O67" s="142"/>
    </row>
    <row r="68" spans="12:17" ht="13.8" thickBot="1" x14ac:dyDescent="0.3">
      <c r="O68" s="142"/>
    </row>
    <row r="69" spans="12:17" ht="13.8" thickBot="1" x14ac:dyDescent="0.3">
      <c r="O69" s="142"/>
      <c r="P69" s="10" t="s">
        <v>164</v>
      </c>
      <c r="Q69" s="9"/>
    </row>
    <row r="70" spans="12:17" ht="16.2" thickBot="1" x14ac:dyDescent="0.35">
      <c r="M70" s="49" t="s">
        <v>165</v>
      </c>
      <c r="N70" s="50"/>
      <c r="P70" s="8" t="s">
        <v>158</v>
      </c>
      <c r="Q70" s="7">
        <v>52.5</v>
      </c>
    </row>
    <row r="71" spans="12:17" x14ac:dyDescent="0.25">
      <c r="M71" s="51">
        <v>1000000</v>
      </c>
      <c r="N71" s="143">
        <v>350</v>
      </c>
      <c r="P71" s="8" t="s">
        <v>159</v>
      </c>
      <c r="Q71" s="7">
        <v>52.5</v>
      </c>
    </row>
    <row r="72" spans="12:17" x14ac:dyDescent="0.25">
      <c r="L72" s="142">
        <f>+N72+$N$71</f>
        <v>650</v>
      </c>
      <c r="M72" s="54">
        <f t="shared" ref="M72:M80" si="4">1000000+M71</f>
        <v>2000000</v>
      </c>
      <c r="N72" s="144">
        <v>300</v>
      </c>
      <c r="O72" s="34">
        <v>300</v>
      </c>
      <c r="P72" s="8" t="s">
        <v>160</v>
      </c>
      <c r="Q72" s="7">
        <v>60</v>
      </c>
    </row>
    <row r="73" spans="12:17" ht="13.8" thickBot="1" x14ac:dyDescent="0.3">
      <c r="L73" s="142">
        <f t="shared" ref="L73:L80" si="5">+N73+$N$71</f>
        <v>950</v>
      </c>
      <c r="M73" s="54">
        <f t="shared" si="4"/>
        <v>3000000</v>
      </c>
      <c r="N73" s="144">
        <v>600</v>
      </c>
      <c r="O73" s="34">
        <v>600</v>
      </c>
      <c r="P73" s="6" t="s">
        <v>161</v>
      </c>
      <c r="Q73" s="5">
        <v>300</v>
      </c>
    </row>
    <row r="74" spans="12:17" ht="13.8" thickBot="1" x14ac:dyDescent="0.3">
      <c r="L74" s="142">
        <f t="shared" si="5"/>
        <v>1250</v>
      </c>
      <c r="M74" s="54">
        <f t="shared" si="4"/>
        <v>4000000</v>
      </c>
      <c r="N74" s="144">
        <v>900</v>
      </c>
      <c r="O74" s="34">
        <v>900</v>
      </c>
      <c r="P74" s="6" t="s">
        <v>162</v>
      </c>
      <c r="Q74" s="5">
        <v>360</v>
      </c>
    </row>
    <row r="75" spans="12:17" ht="13.8" thickBot="1" x14ac:dyDescent="0.3">
      <c r="L75" s="142">
        <f t="shared" si="5"/>
        <v>1550</v>
      </c>
      <c r="M75" s="67">
        <f t="shared" si="4"/>
        <v>5000000</v>
      </c>
      <c r="N75" s="145">
        <v>1200</v>
      </c>
      <c r="O75" s="34">
        <v>1200</v>
      </c>
      <c r="P75" s="6" t="s">
        <v>163</v>
      </c>
      <c r="Q75" s="5">
        <v>360</v>
      </c>
    </row>
    <row r="76" spans="12:17" x14ac:dyDescent="0.25">
      <c r="L76" s="142">
        <f t="shared" si="5"/>
        <v>1850</v>
      </c>
      <c r="M76" s="67">
        <f t="shared" si="4"/>
        <v>6000000</v>
      </c>
      <c r="N76" s="145">
        <v>1500</v>
      </c>
    </row>
    <row r="77" spans="12:17" x14ac:dyDescent="0.25">
      <c r="L77" s="142">
        <f t="shared" si="5"/>
        <v>2150</v>
      </c>
      <c r="M77" s="67">
        <f t="shared" si="4"/>
        <v>7000000</v>
      </c>
      <c r="N77" s="145">
        <v>1800</v>
      </c>
    </row>
    <row r="78" spans="12:17" x14ac:dyDescent="0.25">
      <c r="L78" s="142">
        <f t="shared" si="5"/>
        <v>2450</v>
      </c>
      <c r="M78" s="54">
        <f t="shared" si="4"/>
        <v>8000000</v>
      </c>
      <c r="N78" s="144">
        <v>2100</v>
      </c>
      <c r="P78" s="100"/>
    </row>
    <row r="79" spans="12:17" x14ac:dyDescent="0.25">
      <c r="L79" s="142">
        <f t="shared" si="5"/>
        <v>2750</v>
      </c>
      <c r="M79" s="54">
        <f t="shared" si="4"/>
        <v>9000000</v>
      </c>
      <c r="N79" s="144">
        <v>2400</v>
      </c>
      <c r="P79" s="100" t="s">
        <v>166</v>
      </c>
    </row>
    <row r="80" spans="12:17" ht="13.8" thickBot="1" x14ac:dyDescent="0.3">
      <c r="L80" s="142">
        <f t="shared" si="5"/>
        <v>3050</v>
      </c>
      <c r="M80" s="78">
        <f t="shared" si="4"/>
        <v>10000000</v>
      </c>
      <c r="N80" s="146">
        <v>2700</v>
      </c>
      <c r="P80" s="100" t="s">
        <v>139</v>
      </c>
    </row>
    <row r="82" spans="16:17" ht="16.2" thickBot="1" x14ac:dyDescent="0.35">
      <c r="P82" s="31" t="s">
        <v>167</v>
      </c>
      <c r="Q82" s="31"/>
    </row>
    <row r="83" spans="16:17" ht="13.8" thickBot="1" x14ac:dyDescent="0.3">
      <c r="P83" s="2" t="s">
        <v>168</v>
      </c>
      <c r="Q83" s="1">
        <v>1</v>
      </c>
    </row>
    <row r="84" spans="16:17" x14ac:dyDescent="0.25">
      <c r="P84" s="4" t="s">
        <v>169</v>
      </c>
      <c r="Q84" s="3">
        <v>0.97</v>
      </c>
    </row>
    <row r="85" spans="16:17" x14ac:dyDescent="0.25">
      <c r="P85" s="4" t="s">
        <v>170</v>
      </c>
      <c r="Q85" s="3">
        <v>0.94</v>
      </c>
    </row>
    <row r="88" spans="16:17" ht="16.2" thickBot="1" x14ac:dyDescent="0.35">
      <c r="P88" s="31" t="s">
        <v>171</v>
      </c>
      <c r="Q88" s="31"/>
    </row>
    <row r="89" spans="16:17" ht="13.8" thickBot="1" x14ac:dyDescent="0.3">
      <c r="P89" s="2" t="s">
        <v>142</v>
      </c>
      <c r="Q89" s="1">
        <v>1</v>
      </c>
    </row>
    <row r="90" spans="16:17" ht="13.8" thickBot="1" x14ac:dyDescent="0.3">
      <c r="P90" s="147" t="s">
        <v>152</v>
      </c>
      <c r="Q90" s="39">
        <v>0.9</v>
      </c>
    </row>
    <row r="91" spans="16:17" x14ac:dyDescent="0.25">
      <c r="Q91" s="148"/>
    </row>
    <row r="92" spans="16:17" ht="16.2" thickBot="1" x14ac:dyDescent="0.35">
      <c r="P92" s="31" t="s">
        <v>172</v>
      </c>
      <c r="Q92" s="31"/>
    </row>
    <row r="93" spans="16:17" ht="13.8" thickBot="1" x14ac:dyDescent="0.3">
      <c r="P93" s="2" t="s">
        <v>173</v>
      </c>
      <c r="Q93" s="1">
        <v>1</v>
      </c>
    </row>
    <row r="94" spans="16:17" ht="13.8" thickBot="1" x14ac:dyDescent="0.3">
      <c r="P94" s="147" t="s">
        <v>174</v>
      </c>
      <c r="Q94" s="39">
        <v>1.2</v>
      </c>
    </row>
    <row r="95" spans="16:17" ht="13.8" thickBot="1" x14ac:dyDescent="0.3">
      <c r="P95" s="147" t="s">
        <v>175</v>
      </c>
      <c r="Q95" s="39">
        <v>1.2</v>
      </c>
    </row>
    <row r="96" spans="16:17" ht="13.8" thickBot="1" x14ac:dyDescent="0.3">
      <c r="P96" s="147" t="s">
        <v>176</v>
      </c>
      <c r="Q96" s="39">
        <v>1.4</v>
      </c>
    </row>
    <row r="131" spans="13:18" ht="13.8" x14ac:dyDescent="0.3">
      <c r="M131" s="149"/>
      <c r="N131" s="149"/>
      <c r="O131" s="149"/>
      <c r="P131" s="149"/>
      <c r="Q131" s="149"/>
      <c r="R131" s="149"/>
    </row>
    <row r="132" spans="13:18" ht="13.8" x14ac:dyDescent="0.3">
      <c r="M132" s="149"/>
      <c r="N132" s="149"/>
      <c r="O132" s="149"/>
      <c r="P132" s="149"/>
      <c r="Q132" s="149"/>
      <c r="R132" s="149"/>
    </row>
    <row r="133" spans="13:18" ht="13.8" x14ac:dyDescent="0.3">
      <c r="M133" s="149"/>
      <c r="N133" s="149"/>
      <c r="O133" s="149"/>
      <c r="P133" s="149"/>
      <c r="Q133" s="149"/>
      <c r="R133" s="149"/>
    </row>
    <row r="134" spans="13:18" ht="13.8" x14ac:dyDescent="0.3">
      <c r="M134" s="149"/>
      <c r="N134" s="149"/>
      <c r="O134" s="149"/>
      <c r="P134" s="149"/>
      <c r="Q134" s="149"/>
      <c r="R134" s="149"/>
    </row>
    <row r="135" spans="13:18" ht="13.8" x14ac:dyDescent="0.3">
      <c r="M135" s="149"/>
      <c r="N135" s="149"/>
      <c r="O135" s="149"/>
      <c r="P135" s="149"/>
      <c r="Q135" s="149"/>
      <c r="R135" s="149"/>
    </row>
    <row r="136" spans="13:18" ht="13.8" x14ac:dyDescent="0.3">
      <c r="M136" s="149"/>
      <c r="N136" s="149"/>
      <c r="O136" s="149"/>
      <c r="P136" s="149"/>
      <c r="Q136" s="149"/>
      <c r="R136" s="149"/>
    </row>
    <row r="137" spans="13:18" ht="13.8" x14ac:dyDescent="0.3">
      <c r="M137" s="149"/>
      <c r="N137" s="149"/>
      <c r="O137" s="149"/>
      <c r="P137" s="149"/>
      <c r="Q137" s="149"/>
      <c r="R137" s="149"/>
    </row>
    <row r="138" spans="13:18" ht="13.8" x14ac:dyDescent="0.3">
      <c r="M138" s="149"/>
      <c r="N138" s="149"/>
      <c r="O138" s="149"/>
      <c r="P138" s="149"/>
      <c r="Q138" s="149"/>
      <c r="R138" s="149"/>
    </row>
    <row r="139" spans="13:18" ht="13.8" x14ac:dyDescent="0.3">
      <c r="M139" s="149"/>
      <c r="N139" s="149"/>
      <c r="O139" s="149"/>
      <c r="P139" s="149"/>
      <c r="Q139" s="149"/>
      <c r="R139" s="149"/>
    </row>
    <row r="140" spans="13:18" ht="13.8" x14ac:dyDescent="0.3">
      <c r="M140" s="149"/>
      <c r="N140" s="149"/>
      <c r="O140" s="149"/>
      <c r="P140" s="149"/>
      <c r="Q140" s="149"/>
      <c r="R140" s="149"/>
    </row>
    <row r="141" spans="13:18" ht="13.8" x14ac:dyDescent="0.3">
      <c r="M141" s="149"/>
      <c r="N141" s="149"/>
      <c r="O141" s="149"/>
      <c r="P141" s="149"/>
      <c r="Q141" s="149"/>
      <c r="R141" s="149"/>
    </row>
    <row r="142" spans="13:18" ht="13.8" x14ac:dyDescent="0.3">
      <c r="M142" s="149"/>
      <c r="N142" s="149"/>
      <c r="O142" s="149"/>
      <c r="P142" s="149"/>
      <c r="Q142" s="149"/>
      <c r="R142" s="149"/>
    </row>
    <row r="143" spans="13:18" ht="13.8" x14ac:dyDescent="0.3">
      <c r="M143" s="149"/>
      <c r="N143" s="149"/>
      <c r="O143" s="149"/>
      <c r="P143" s="149"/>
      <c r="Q143" s="149"/>
      <c r="R143" s="149"/>
    </row>
    <row r="144" spans="13:18" ht="13.8" x14ac:dyDescent="0.3">
      <c r="M144" s="149"/>
      <c r="N144" s="149"/>
      <c r="O144" s="149"/>
      <c r="P144" s="149"/>
      <c r="Q144" s="149"/>
      <c r="R144" s="149"/>
    </row>
    <row r="145" spans="13:18" ht="13.8" x14ac:dyDescent="0.3">
      <c r="M145" s="149"/>
      <c r="N145" s="149"/>
      <c r="O145" s="149"/>
      <c r="P145" s="149"/>
      <c r="Q145" s="149"/>
      <c r="R145" s="149"/>
    </row>
    <row r="146" spans="13:18" ht="13.8" x14ac:dyDescent="0.3">
      <c r="M146" s="149"/>
      <c r="N146" s="149"/>
      <c r="O146" s="149"/>
      <c r="P146" s="149"/>
      <c r="Q146" s="149"/>
      <c r="R146" s="149"/>
    </row>
  </sheetData>
  <mergeCells count="9">
    <mergeCell ref="P82:Q82"/>
    <mergeCell ref="P88:Q88"/>
    <mergeCell ref="P92:Q92"/>
    <mergeCell ref="P9:Q9"/>
    <mergeCell ref="S9:T9"/>
    <mergeCell ref="P22:Q22"/>
    <mergeCell ref="P26:Q26"/>
    <mergeCell ref="P43:Q43"/>
    <mergeCell ref="M70:N70"/>
  </mergeCells>
  <dataValidations count="10">
    <dataValidation type="list" allowBlank="1" showInputMessage="1" showErrorMessage="1" sqref="B2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562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98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634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70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706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242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78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314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850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86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922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458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94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530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66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WVJ983066" xr:uid="{EAA020D2-BE60-4605-BF4C-07EB5FB4AFCE}">
      <formula1>$M$8:$M$59</formula1>
    </dataValidation>
    <dataValidation type="list" allowBlank="1" showInputMessage="1" showErrorMessage="1" sqref="B37 IX37 ST37 ACP37 AML37 AWH37 BGD37 BPZ37 BZV37 CJR37 CTN37 DDJ37 DNF37 DXB37 EGX37 EQT37 FAP37 FKL37 FUH37 GED37 GNZ37 GXV37 HHR37 HRN37 IBJ37 ILF37 IVB37 JEX37 JOT37 JYP37 KIL37 KSH37 LCD37 LLZ37 LVV37 MFR37 MPN37 MZJ37 NJF37 NTB37 OCX37 OMT37 OWP37 PGL37 PQH37 QAD37 QJZ37 QTV37 RDR37 RNN37 RXJ37 SHF37 SRB37 TAX37 TKT37 TUP37 UEL37 UOH37 UYD37 VHZ37 VRV37 WBR37 WLN37 WVJ37 B65573 IX65573 ST65573 ACP65573 AML65573 AWH65573 BGD65573 BPZ65573 BZV65573 CJR65573 CTN65573 DDJ65573 DNF65573 DXB65573 EGX65573 EQT65573 FAP65573 FKL65573 FUH65573 GED65573 GNZ65573 GXV65573 HHR65573 HRN65573 IBJ65573 ILF65573 IVB65573 JEX65573 JOT65573 JYP65573 KIL65573 KSH65573 LCD65573 LLZ65573 LVV65573 MFR65573 MPN65573 MZJ65573 NJF65573 NTB65573 OCX65573 OMT65573 OWP65573 PGL65573 PQH65573 QAD65573 QJZ65573 QTV65573 RDR65573 RNN65573 RXJ65573 SHF65573 SRB65573 TAX65573 TKT65573 TUP65573 UEL65573 UOH65573 UYD65573 VHZ65573 VRV65573 WBR65573 WLN65573 WVJ65573 B131109 IX131109 ST131109 ACP131109 AML131109 AWH131109 BGD131109 BPZ131109 BZV131109 CJR131109 CTN131109 DDJ131109 DNF131109 DXB131109 EGX131109 EQT131109 FAP131109 FKL131109 FUH131109 GED131109 GNZ131109 GXV131109 HHR131109 HRN131109 IBJ131109 ILF131109 IVB131109 JEX131109 JOT131109 JYP131109 KIL131109 KSH131109 LCD131109 LLZ131109 LVV131109 MFR131109 MPN131109 MZJ131109 NJF131109 NTB131109 OCX131109 OMT131109 OWP131109 PGL131109 PQH131109 QAD131109 QJZ131109 QTV131109 RDR131109 RNN131109 RXJ131109 SHF131109 SRB131109 TAX131109 TKT131109 TUP131109 UEL131109 UOH131109 UYD131109 VHZ131109 VRV131109 WBR131109 WLN131109 WVJ131109 B196645 IX196645 ST196645 ACP196645 AML196645 AWH196645 BGD196645 BPZ196645 BZV196645 CJR196645 CTN196645 DDJ196645 DNF196645 DXB196645 EGX196645 EQT196645 FAP196645 FKL196645 FUH196645 GED196645 GNZ196645 GXV196645 HHR196645 HRN196645 IBJ196645 ILF196645 IVB196645 JEX196645 JOT196645 JYP196645 KIL196645 KSH196645 LCD196645 LLZ196645 LVV196645 MFR196645 MPN196645 MZJ196645 NJF196645 NTB196645 OCX196645 OMT196645 OWP196645 PGL196645 PQH196645 QAD196645 QJZ196645 QTV196645 RDR196645 RNN196645 RXJ196645 SHF196645 SRB196645 TAX196645 TKT196645 TUP196645 UEL196645 UOH196645 UYD196645 VHZ196645 VRV196645 WBR196645 WLN196645 WVJ196645 B262181 IX262181 ST262181 ACP262181 AML262181 AWH262181 BGD262181 BPZ262181 BZV262181 CJR262181 CTN262181 DDJ262181 DNF262181 DXB262181 EGX262181 EQT262181 FAP262181 FKL262181 FUH262181 GED262181 GNZ262181 GXV262181 HHR262181 HRN262181 IBJ262181 ILF262181 IVB262181 JEX262181 JOT262181 JYP262181 KIL262181 KSH262181 LCD262181 LLZ262181 LVV262181 MFR262181 MPN262181 MZJ262181 NJF262181 NTB262181 OCX262181 OMT262181 OWP262181 PGL262181 PQH262181 QAD262181 QJZ262181 QTV262181 RDR262181 RNN262181 RXJ262181 SHF262181 SRB262181 TAX262181 TKT262181 TUP262181 UEL262181 UOH262181 UYD262181 VHZ262181 VRV262181 WBR262181 WLN262181 WVJ262181 B327717 IX327717 ST327717 ACP327717 AML327717 AWH327717 BGD327717 BPZ327717 BZV327717 CJR327717 CTN327717 DDJ327717 DNF327717 DXB327717 EGX327717 EQT327717 FAP327717 FKL327717 FUH327717 GED327717 GNZ327717 GXV327717 HHR327717 HRN327717 IBJ327717 ILF327717 IVB327717 JEX327717 JOT327717 JYP327717 KIL327717 KSH327717 LCD327717 LLZ327717 LVV327717 MFR327717 MPN327717 MZJ327717 NJF327717 NTB327717 OCX327717 OMT327717 OWP327717 PGL327717 PQH327717 QAD327717 QJZ327717 QTV327717 RDR327717 RNN327717 RXJ327717 SHF327717 SRB327717 TAX327717 TKT327717 TUP327717 UEL327717 UOH327717 UYD327717 VHZ327717 VRV327717 WBR327717 WLN327717 WVJ327717 B393253 IX393253 ST393253 ACP393253 AML393253 AWH393253 BGD393253 BPZ393253 BZV393253 CJR393253 CTN393253 DDJ393253 DNF393253 DXB393253 EGX393253 EQT393253 FAP393253 FKL393253 FUH393253 GED393253 GNZ393253 GXV393253 HHR393253 HRN393253 IBJ393253 ILF393253 IVB393253 JEX393253 JOT393253 JYP393253 KIL393253 KSH393253 LCD393253 LLZ393253 LVV393253 MFR393253 MPN393253 MZJ393253 NJF393253 NTB393253 OCX393253 OMT393253 OWP393253 PGL393253 PQH393253 QAD393253 QJZ393253 QTV393253 RDR393253 RNN393253 RXJ393253 SHF393253 SRB393253 TAX393253 TKT393253 TUP393253 UEL393253 UOH393253 UYD393253 VHZ393253 VRV393253 WBR393253 WLN393253 WVJ393253 B458789 IX458789 ST458789 ACP458789 AML458789 AWH458789 BGD458789 BPZ458789 BZV458789 CJR458789 CTN458789 DDJ458789 DNF458789 DXB458789 EGX458789 EQT458789 FAP458789 FKL458789 FUH458789 GED458789 GNZ458789 GXV458789 HHR458789 HRN458789 IBJ458789 ILF458789 IVB458789 JEX458789 JOT458789 JYP458789 KIL458789 KSH458789 LCD458789 LLZ458789 LVV458789 MFR458789 MPN458789 MZJ458789 NJF458789 NTB458789 OCX458789 OMT458789 OWP458789 PGL458789 PQH458789 QAD458789 QJZ458789 QTV458789 RDR458789 RNN458789 RXJ458789 SHF458789 SRB458789 TAX458789 TKT458789 TUP458789 UEL458789 UOH458789 UYD458789 VHZ458789 VRV458789 WBR458789 WLN458789 WVJ458789 B524325 IX524325 ST524325 ACP524325 AML524325 AWH524325 BGD524325 BPZ524325 BZV524325 CJR524325 CTN524325 DDJ524325 DNF524325 DXB524325 EGX524325 EQT524325 FAP524325 FKL524325 FUH524325 GED524325 GNZ524325 GXV524325 HHR524325 HRN524325 IBJ524325 ILF524325 IVB524325 JEX524325 JOT524325 JYP524325 KIL524325 KSH524325 LCD524325 LLZ524325 LVV524325 MFR524325 MPN524325 MZJ524325 NJF524325 NTB524325 OCX524325 OMT524325 OWP524325 PGL524325 PQH524325 QAD524325 QJZ524325 QTV524325 RDR524325 RNN524325 RXJ524325 SHF524325 SRB524325 TAX524325 TKT524325 TUP524325 UEL524325 UOH524325 UYD524325 VHZ524325 VRV524325 WBR524325 WLN524325 WVJ524325 B589861 IX589861 ST589861 ACP589861 AML589861 AWH589861 BGD589861 BPZ589861 BZV589861 CJR589861 CTN589861 DDJ589861 DNF589861 DXB589861 EGX589861 EQT589861 FAP589861 FKL589861 FUH589861 GED589861 GNZ589861 GXV589861 HHR589861 HRN589861 IBJ589861 ILF589861 IVB589861 JEX589861 JOT589861 JYP589861 KIL589861 KSH589861 LCD589861 LLZ589861 LVV589861 MFR589861 MPN589861 MZJ589861 NJF589861 NTB589861 OCX589861 OMT589861 OWP589861 PGL589861 PQH589861 QAD589861 QJZ589861 QTV589861 RDR589861 RNN589861 RXJ589861 SHF589861 SRB589861 TAX589861 TKT589861 TUP589861 UEL589861 UOH589861 UYD589861 VHZ589861 VRV589861 WBR589861 WLN589861 WVJ589861 B655397 IX655397 ST655397 ACP655397 AML655397 AWH655397 BGD655397 BPZ655397 BZV655397 CJR655397 CTN655397 DDJ655397 DNF655397 DXB655397 EGX655397 EQT655397 FAP655397 FKL655397 FUH655397 GED655397 GNZ655397 GXV655397 HHR655397 HRN655397 IBJ655397 ILF655397 IVB655397 JEX655397 JOT655397 JYP655397 KIL655397 KSH655397 LCD655397 LLZ655397 LVV655397 MFR655397 MPN655397 MZJ655397 NJF655397 NTB655397 OCX655397 OMT655397 OWP655397 PGL655397 PQH655397 QAD655397 QJZ655397 QTV655397 RDR655397 RNN655397 RXJ655397 SHF655397 SRB655397 TAX655397 TKT655397 TUP655397 UEL655397 UOH655397 UYD655397 VHZ655397 VRV655397 WBR655397 WLN655397 WVJ655397 B720933 IX720933 ST720933 ACP720933 AML720933 AWH720933 BGD720933 BPZ720933 BZV720933 CJR720933 CTN720933 DDJ720933 DNF720933 DXB720933 EGX720933 EQT720933 FAP720933 FKL720933 FUH720933 GED720933 GNZ720933 GXV720933 HHR720933 HRN720933 IBJ720933 ILF720933 IVB720933 JEX720933 JOT720933 JYP720933 KIL720933 KSH720933 LCD720933 LLZ720933 LVV720933 MFR720933 MPN720933 MZJ720933 NJF720933 NTB720933 OCX720933 OMT720933 OWP720933 PGL720933 PQH720933 QAD720933 QJZ720933 QTV720933 RDR720933 RNN720933 RXJ720933 SHF720933 SRB720933 TAX720933 TKT720933 TUP720933 UEL720933 UOH720933 UYD720933 VHZ720933 VRV720933 WBR720933 WLN720933 WVJ720933 B786469 IX786469 ST786469 ACP786469 AML786469 AWH786469 BGD786469 BPZ786469 BZV786469 CJR786469 CTN786469 DDJ786469 DNF786469 DXB786469 EGX786469 EQT786469 FAP786469 FKL786469 FUH786469 GED786469 GNZ786469 GXV786469 HHR786469 HRN786469 IBJ786469 ILF786469 IVB786469 JEX786469 JOT786469 JYP786469 KIL786469 KSH786469 LCD786469 LLZ786469 LVV786469 MFR786469 MPN786469 MZJ786469 NJF786469 NTB786469 OCX786469 OMT786469 OWP786469 PGL786469 PQH786469 QAD786469 QJZ786469 QTV786469 RDR786469 RNN786469 RXJ786469 SHF786469 SRB786469 TAX786469 TKT786469 TUP786469 UEL786469 UOH786469 UYD786469 VHZ786469 VRV786469 WBR786469 WLN786469 WVJ786469 B852005 IX852005 ST852005 ACP852005 AML852005 AWH852005 BGD852005 BPZ852005 BZV852005 CJR852005 CTN852005 DDJ852005 DNF852005 DXB852005 EGX852005 EQT852005 FAP852005 FKL852005 FUH852005 GED852005 GNZ852005 GXV852005 HHR852005 HRN852005 IBJ852005 ILF852005 IVB852005 JEX852005 JOT852005 JYP852005 KIL852005 KSH852005 LCD852005 LLZ852005 LVV852005 MFR852005 MPN852005 MZJ852005 NJF852005 NTB852005 OCX852005 OMT852005 OWP852005 PGL852005 PQH852005 QAD852005 QJZ852005 QTV852005 RDR852005 RNN852005 RXJ852005 SHF852005 SRB852005 TAX852005 TKT852005 TUP852005 UEL852005 UOH852005 UYD852005 VHZ852005 VRV852005 WBR852005 WLN852005 WVJ852005 B917541 IX917541 ST917541 ACP917541 AML917541 AWH917541 BGD917541 BPZ917541 BZV917541 CJR917541 CTN917541 DDJ917541 DNF917541 DXB917541 EGX917541 EQT917541 FAP917541 FKL917541 FUH917541 GED917541 GNZ917541 GXV917541 HHR917541 HRN917541 IBJ917541 ILF917541 IVB917541 JEX917541 JOT917541 JYP917541 KIL917541 KSH917541 LCD917541 LLZ917541 LVV917541 MFR917541 MPN917541 MZJ917541 NJF917541 NTB917541 OCX917541 OMT917541 OWP917541 PGL917541 PQH917541 QAD917541 QJZ917541 QTV917541 RDR917541 RNN917541 RXJ917541 SHF917541 SRB917541 TAX917541 TKT917541 TUP917541 UEL917541 UOH917541 UYD917541 VHZ917541 VRV917541 WBR917541 WLN917541 WVJ917541 B983077 IX983077 ST983077 ACP983077 AML983077 AWH983077 BGD983077 BPZ983077 BZV983077 CJR983077 CTN983077 DDJ983077 DNF983077 DXB983077 EGX983077 EQT983077 FAP983077 FKL983077 FUH983077 GED983077 GNZ983077 GXV983077 HHR983077 HRN983077 IBJ983077 ILF983077 IVB983077 JEX983077 JOT983077 JYP983077 KIL983077 KSH983077 LCD983077 LLZ983077 LVV983077 MFR983077 MPN983077 MZJ983077 NJF983077 NTB983077 OCX983077 OMT983077 OWP983077 PGL983077 PQH983077 QAD983077 QJZ983077 QTV983077 RDR983077 RNN983077 RXJ983077 SHF983077 SRB983077 TAX983077 TKT983077 TUP983077 UEL983077 UOH983077 UYD983077 VHZ983077 VRV983077 WBR983077 WLN983077 WVJ983077" xr:uid="{A0FFB2FC-F7A4-44C5-9066-5E146450F402}">
      <formula1>$P$53:$P$57</formula1>
    </dataValidation>
    <dataValidation type="list" allowBlank="1" showInputMessage="1" showErrorMessage="1" sqref="B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B65564 IX65564 ST65564 ACP65564 AML65564 AWH65564 BGD65564 BPZ65564 BZV65564 CJR65564 CTN65564 DDJ65564 DNF65564 DXB65564 EGX65564 EQT65564 FAP65564 FKL65564 FUH65564 GED65564 GNZ65564 GXV65564 HHR65564 HRN65564 IBJ65564 ILF65564 IVB65564 JEX65564 JOT65564 JYP65564 KIL65564 KSH65564 LCD65564 LLZ65564 LVV65564 MFR65564 MPN65564 MZJ65564 NJF65564 NTB65564 OCX65564 OMT65564 OWP65564 PGL65564 PQH65564 QAD65564 QJZ65564 QTV65564 RDR65564 RNN65564 RXJ65564 SHF65564 SRB65564 TAX65564 TKT65564 TUP65564 UEL65564 UOH65564 UYD65564 VHZ65564 VRV65564 WBR65564 WLN65564 WVJ65564 B131100 IX131100 ST131100 ACP131100 AML131100 AWH131100 BGD131100 BPZ131100 BZV131100 CJR131100 CTN131100 DDJ131100 DNF131100 DXB131100 EGX131100 EQT131100 FAP131100 FKL131100 FUH131100 GED131100 GNZ131100 GXV131100 HHR131100 HRN131100 IBJ131100 ILF131100 IVB131100 JEX131100 JOT131100 JYP131100 KIL131100 KSH131100 LCD131100 LLZ131100 LVV131100 MFR131100 MPN131100 MZJ131100 NJF131100 NTB131100 OCX131100 OMT131100 OWP131100 PGL131100 PQH131100 QAD131100 QJZ131100 QTV131100 RDR131100 RNN131100 RXJ131100 SHF131100 SRB131100 TAX131100 TKT131100 TUP131100 UEL131100 UOH131100 UYD131100 VHZ131100 VRV131100 WBR131100 WLN131100 WVJ131100 B196636 IX196636 ST196636 ACP196636 AML196636 AWH196636 BGD196636 BPZ196636 BZV196636 CJR196636 CTN196636 DDJ196636 DNF196636 DXB196636 EGX196636 EQT196636 FAP196636 FKL196636 FUH196636 GED196636 GNZ196636 GXV196636 HHR196636 HRN196636 IBJ196636 ILF196636 IVB196636 JEX196636 JOT196636 JYP196636 KIL196636 KSH196636 LCD196636 LLZ196636 LVV196636 MFR196636 MPN196636 MZJ196636 NJF196636 NTB196636 OCX196636 OMT196636 OWP196636 PGL196636 PQH196636 QAD196636 QJZ196636 QTV196636 RDR196636 RNN196636 RXJ196636 SHF196636 SRB196636 TAX196636 TKT196636 TUP196636 UEL196636 UOH196636 UYD196636 VHZ196636 VRV196636 WBR196636 WLN196636 WVJ196636 B262172 IX262172 ST262172 ACP262172 AML262172 AWH262172 BGD262172 BPZ262172 BZV262172 CJR262172 CTN262172 DDJ262172 DNF262172 DXB262172 EGX262172 EQT262172 FAP262172 FKL262172 FUH262172 GED262172 GNZ262172 GXV262172 HHR262172 HRN262172 IBJ262172 ILF262172 IVB262172 JEX262172 JOT262172 JYP262172 KIL262172 KSH262172 LCD262172 LLZ262172 LVV262172 MFR262172 MPN262172 MZJ262172 NJF262172 NTB262172 OCX262172 OMT262172 OWP262172 PGL262172 PQH262172 QAD262172 QJZ262172 QTV262172 RDR262172 RNN262172 RXJ262172 SHF262172 SRB262172 TAX262172 TKT262172 TUP262172 UEL262172 UOH262172 UYD262172 VHZ262172 VRV262172 WBR262172 WLN262172 WVJ262172 B327708 IX327708 ST327708 ACP327708 AML327708 AWH327708 BGD327708 BPZ327708 BZV327708 CJR327708 CTN327708 DDJ327708 DNF327708 DXB327708 EGX327708 EQT327708 FAP327708 FKL327708 FUH327708 GED327708 GNZ327708 GXV327708 HHR327708 HRN327708 IBJ327708 ILF327708 IVB327708 JEX327708 JOT327708 JYP327708 KIL327708 KSH327708 LCD327708 LLZ327708 LVV327708 MFR327708 MPN327708 MZJ327708 NJF327708 NTB327708 OCX327708 OMT327708 OWP327708 PGL327708 PQH327708 QAD327708 QJZ327708 QTV327708 RDR327708 RNN327708 RXJ327708 SHF327708 SRB327708 TAX327708 TKT327708 TUP327708 UEL327708 UOH327708 UYD327708 VHZ327708 VRV327708 WBR327708 WLN327708 WVJ327708 B393244 IX393244 ST393244 ACP393244 AML393244 AWH393244 BGD393244 BPZ393244 BZV393244 CJR393244 CTN393244 DDJ393244 DNF393244 DXB393244 EGX393244 EQT393244 FAP393244 FKL393244 FUH393244 GED393244 GNZ393244 GXV393244 HHR393244 HRN393244 IBJ393244 ILF393244 IVB393244 JEX393244 JOT393244 JYP393244 KIL393244 KSH393244 LCD393244 LLZ393244 LVV393244 MFR393244 MPN393244 MZJ393244 NJF393244 NTB393244 OCX393244 OMT393244 OWP393244 PGL393244 PQH393244 QAD393244 QJZ393244 QTV393244 RDR393244 RNN393244 RXJ393244 SHF393244 SRB393244 TAX393244 TKT393244 TUP393244 UEL393244 UOH393244 UYD393244 VHZ393244 VRV393244 WBR393244 WLN393244 WVJ393244 B458780 IX458780 ST458780 ACP458780 AML458780 AWH458780 BGD458780 BPZ458780 BZV458780 CJR458780 CTN458780 DDJ458780 DNF458780 DXB458780 EGX458780 EQT458780 FAP458780 FKL458780 FUH458780 GED458780 GNZ458780 GXV458780 HHR458780 HRN458780 IBJ458780 ILF458780 IVB458780 JEX458780 JOT458780 JYP458780 KIL458780 KSH458780 LCD458780 LLZ458780 LVV458780 MFR458780 MPN458780 MZJ458780 NJF458780 NTB458780 OCX458780 OMT458780 OWP458780 PGL458780 PQH458780 QAD458780 QJZ458780 QTV458780 RDR458780 RNN458780 RXJ458780 SHF458780 SRB458780 TAX458780 TKT458780 TUP458780 UEL458780 UOH458780 UYD458780 VHZ458780 VRV458780 WBR458780 WLN458780 WVJ458780 B524316 IX524316 ST524316 ACP524316 AML524316 AWH524316 BGD524316 BPZ524316 BZV524316 CJR524316 CTN524316 DDJ524316 DNF524316 DXB524316 EGX524316 EQT524316 FAP524316 FKL524316 FUH524316 GED524316 GNZ524316 GXV524316 HHR524316 HRN524316 IBJ524316 ILF524316 IVB524316 JEX524316 JOT524316 JYP524316 KIL524316 KSH524316 LCD524316 LLZ524316 LVV524316 MFR524316 MPN524316 MZJ524316 NJF524316 NTB524316 OCX524316 OMT524316 OWP524316 PGL524316 PQH524316 QAD524316 QJZ524316 QTV524316 RDR524316 RNN524316 RXJ524316 SHF524316 SRB524316 TAX524316 TKT524316 TUP524316 UEL524316 UOH524316 UYD524316 VHZ524316 VRV524316 WBR524316 WLN524316 WVJ524316 B589852 IX589852 ST589852 ACP589852 AML589852 AWH589852 BGD589852 BPZ589852 BZV589852 CJR589852 CTN589852 DDJ589852 DNF589852 DXB589852 EGX589852 EQT589852 FAP589852 FKL589852 FUH589852 GED589852 GNZ589852 GXV589852 HHR589852 HRN589852 IBJ589852 ILF589852 IVB589852 JEX589852 JOT589852 JYP589852 KIL589852 KSH589852 LCD589852 LLZ589852 LVV589852 MFR589852 MPN589852 MZJ589852 NJF589852 NTB589852 OCX589852 OMT589852 OWP589852 PGL589852 PQH589852 QAD589852 QJZ589852 QTV589852 RDR589852 RNN589852 RXJ589852 SHF589852 SRB589852 TAX589852 TKT589852 TUP589852 UEL589852 UOH589852 UYD589852 VHZ589852 VRV589852 WBR589852 WLN589852 WVJ589852 B655388 IX655388 ST655388 ACP655388 AML655388 AWH655388 BGD655388 BPZ655388 BZV655388 CJR655388 CTN655388 DDJ655388 DNF655388 DXB655388 EGX655388 EQT655388 FAP655388 FKL655388 FUH655388 GED655388 GNZ655388 GXV655388 HHR655388 HRN655388 IBJ655388 ILF655388 IVB655388 JEX655388 JOT655388 JYP655388 KIL655388 KSH655388 LCD655388 LLZ655388 LVV655388 MFR655388 MPN655388 MZJ655388 NJF655388 NTB655388 OCX655388 OMT655388 OWP655388 PGL655388 PQH655388 QAD655388 QJZ655388 QTV655388 RDR655388 RNN655388 RXJ655388 SHF655388 SRB655388 TAX655388 TKT655388 TUP655388 UEL655388 UOH655388 UYD655388 VHZ655388 VRV655388 WBR655388 WLN655388 WVJ655388 B720924 IX720924 ST720924 ACP720924 AML720924 AWH720924 BGD720924 BPZ720924 BZV720924 CJR720924 CTN720924 DDJ720924 DNF720924 DXB720924 EGX720924 EQT720924 FAP720924 FKL720924 FUH720924 GED720924 GNZ720924 GXV720924 HHR720924 HRN720924 IBJ720924 ILF720924 IVB720924 JEX720924 JOT720924 JYP720924 KIL720924 KSH720924 LCD720924 LLZ720924 LVV720924 MFR720924 MPN720924 MZJ720924 NJF720924 NTB720924 OCX720924 OMT720924 OWP720924 PGL720924 PQH720924 QAD720924 QJZ720924 QTV720924 RDR720924 RNN720924 RXJ720924 SHF720924 SRB720924 TAX720924 TKT720924 TUP720924 UEL720924 UOH720924 UYD720924 VHZ720924 VRV720924 WBR720924 WLN720924 WVJ720924 B786460 IX786460 ST786460 ACP786460 AML786460 AWH786460 BGD786460 BPZ786460 BZV786460 CJR786460 CTN786460 DDJ786460 DNF786460 DXB786460 EGX786460 EQT786460 FAP786460 FKL786460 FUH786460 GED786460 GNZ786460 GXV786460 HHR786460 HRN786460 IBJ786460 ILF786460 IVB786460 JEX786460 JOT786460 JYP786460 KIL786460 KSH786460 LCD786460 LLZ786460 LVV786460 MFR786460 MPN786460 MZJ786460 NJF786460 NTB786460 OCX786460 OMT786460 OWP786460 PGL786460 PQH786460 QAD786460 QJZ786460 QTV786460 RDR786460 RNN786460 RXJ786460 SHF786460 SRB786460 TAX786460 TKT786460 TUP786460 UEL786460 UOH786460 UYD786460 VHZ786460 VRV786460 WBR786460 WLN786460 WVJ786460 B851996 IX851996 ST851996 ACP851996 AML851996 AWH851996 BGD851996 BPZ851996 BZV851996 CJR851996 CTN851996 DDJ851996 DNF851996 DXB851996 EGX851996 EQT851996 FAP851996 FKL851996 FUH851996 GED851996 GNZ851996 GXV851996 HHR851996 HRN851996 IBJ851996 ILF851996 IVB851996 JEX851996 JOT851996 JYP851996 KIL851996 KSH851996 LCD851996 LLZ851996 LVV851996 MFR851996 MPN851996 MZJ851996 NJF851996 NTB851996 OCX851996 OMT851996 OWP851996 PGL851996 PQH851996 QAD851996 QJZ851996 QTV851996 RDR851996 RNN851996 RXJ851996 SHF851996 SRB851996 TAX851996 TKT851996 TUP851996 UEL851996 UOH851996 UYD851996 VHZ851996 VRV851996 WBR851996 WLN851996 WVJ851996 B917532 IX917532 ST917532 ACP917532 AML917532 AWH917532 BGD917532 BPZ917532 BZV917532 CJR917532 CTN917532 DDJ917532 DNF917532 DXB917532 EGX917532 EQT917532 FAP917532 FKL917532 FUH917532 GED917532 GNZ917532 GXV917532 HHR917532 HRN917532 IBJ917532 ILF917532 IVB917532 JEX917532 JOT917532 JYP917532 KIL917532 KSH917532 LCD917532 LLZ917532 LVV917532 MFR917532 MPN917532 MZJ917532 NJF917532 NTB917532 OCX917532 OMT917532 OWP917532 PGL917532 PQH917532 QAD917532 QJZ917532 QTV917532 RDR917532 RNN917532 RXJ917532 SHF917532 SRB917532 TAX917532 TKT917532 TUP917532 UEL917532 UOH917532 UYD917532 VHZ917532 VRV917532 WBR917532 WLN917532 WVJ917532 B983068 IX983068 ST983068 ACP983068 AML983068 AWH983068 BGD983068 BPZ983068 BZV983068 CJR983068 CTN983068 DDJ983068 DNF983068 DXB983068 EGX983068 EQT983068 FAP983068 FKL983068 FUH983068 GED983068 GNZ983068 GXV983068 HHR983068 HRN983068 IBJ983068 ILF983068 IVB983068 JEX983068 JOT983068 JYP983068 KIL983068 KSH983068 LCD983068 LLZ983068 LVV983068 MFR983068 MPN983068 MZJ983068 NJF983068 NTB983068 OCX983068 OMT983068 OWP983068 PGL983068 PQH983068 QAD983068 QJZ983068 QTV983068 RDR983068 RNN983068 RXJ983068 SHF983068 SRB983068 TAX983068 TKT983068 TUP983068 UEL983068 UOH983068 UYD983068 VHZ983068 VRV983068 WBR983068 WLN983068 WVJ983068" xr:uid="{126063FE-9E64-49A4-A0B1-84F99C1935CF}">
      <formula1>$P$46:$P$50</formula1>
    </dataValidation>
    <dataValidation type="list" allowBlank="1" showInputMessage="1" showErrorMessage="1" sqref="B30 IX30 ST30 ACP30 AML30 AWH30 BGD30 BPZ30 BZV30 CJR30 CTN30 DDJ30 DNF30 DXB30 EGX30 EQT30 FAP30 FKL30 FUH30 GED30 GNZ30 GXV30 HHR30 HRN30 IBJ30 ILF30 IVB30 JEX30 JOT30 JYP30 KIL30 KSH30 LCD30 LLZ30 LVV30 MFR30 MPN30 MZJ30 NJF30 NTB30 OCX30 OMT30 OWP30 PGL30 PQH30 QAD30 QJZ30 QTV30 RDR30 RNN30 RXJ30 SHF30 SRB30 TAX30 TKT30 TUP30 UEL30 UOH30 UYD30 VHZ30 VRV30 WBR30 WLN30 WVJ30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WVJ983070" xr:uid="{19CD1E8D-07D6-4B64-8765-1A1F1C9EED4C}">
      <formula1>$P$29:$P$38</formula1>
    </dataValidation>
    <dataValidation type="list" allowBlank="1" showInputMessage="1" showErrorMessage="1" sqref="B35 IX35 ST35 ACP35 AML35 AWH35 BGD35 BPZ35 BZV35 CJR35 CTN35 DDJ35 DNF35 DXB35 EGX35 EQT35 FAP35 FKL35 FUH35 GED35 GNZ35 GXV35 HHR35 HRN35 IBJ35 ILF35 IVB35 JEX35 JOT35 JYP35 KIL35 KSH35 LCD35 LLZ35 LVV35 MFR35 MPN35 MZJ35 NJF35 NTB35 OCX35 OMT35 OWP35 PGL35 PQH35 QAD35 QJZ35 QTV35 RDR35 RNN35 RXJ35 SHF35 SRB35 TAX35 TKT35 TUP35 UEL35 UOH35 UYD35 VHZ35 VRV35 WBR35 WLN35 WVJ35 B65571 IX65571 ST65571 ACP65571 AML65571 AWH65571 BGD65571 BPZ65571 BZV65571 CJR65571 CTN65571 DDJ65571 DNF65571 DXB65571 EGX65571 EQT65571 FAP65571 FKL65571 FUH65571 GED65571 GNZ65571 GXV65571 HHR65571 HRN65571 IBJ65571 ILF65571 IVB65571 JEX65571 JOT65571 JYP65571 KIL65571 KSH65571 LCD65571 LLZ65571 LVV65571 MFR65571 MPN65571 MZJ65571 NJF65571 NTB65571 OCX65571 OMT65571 OWP65571 PGL65571 PQH65571 QAD65571 QJZ65571 QTV65571 RDR65571 RNN65571 RXJ65571 SHF65571 SRB65571 TAX65571 TKT65571 TUP65571 UEL65571 UOH65571 UYD65571 VHZ65571 VRV65571 WBR65571 WLN65571 WVJ65571 B131107 IX131107 ST131107 ACP131107 AML131107 AWH131107 BGD131107 BPZ131107 BZV131107 CJR131107 CTN131107 DDJ131107 DNF131107 DXB131107 EGX131107 EQT131107 FAP131107 FKL131107 FUH131107 GED131107 GNZ131107 GXV131107 HHR131107 HRN131107 IBJ131107 ILF131107 IVB131107 JEX131107 JOT131107 JYP131107 KIL131107 KSH131107 LCD131107 LLZ131107 LVV131107 MFR131107 MPN131107 MZJ131107 NJF131107 NTB131107 OCX131107 OMT131107 OWP131107 PGL131107 PQH131107 QAD131107 QJZ131107 QTV131107 RDR131107 RNN131107 RXJ131107 SHF131107 SRB131107 TAX131107 TKT131107 TUP131107 UEL131107 UOH131107 UYD131107 VHZ131107 VRV131107 WBR131107 WLN131107 WVJ131107 B196643 IX196643 ST196643 ACP196643 AML196643 AWH196643 BGD196643 BPZ196643 BZV196643 CJR196643 CTN196643 DDJ196643 DNF196643 DXB196643 EGX196643 EQT196643 FAP196643 FKL196643 FUH196643 GED196643 GNZ196643 GXV196643 HHR196643 HRN196643 IBJ196643 ILF196643 IVB196643 JEX196643 JOT196643 JYP196643 KIL196643 KSH196643 LCD196643 LLZ196643 LVV196643 MFR196643 MPN196643 MZJ196643 NJF196643 NTB196643 OCX196643 OMT196643 OWP196643 PGL196643 PQH196643 QAD196643 QJZ196643 QTV196643 RDR196643 RNN196643 RXJ196643 SHF196643 SRB196643 TAX196643 TKT196643 TUP196643 UEL196643 UOH196643 UYD196643 VHZ196643 VRV196643 WBR196643 WLN196643 WVJ196643 B262179 IX262179 ST262179 ACP262179 AML262179 AWH262179 BGD262179 BPZ262179 BZV262179 CJR262179 CTN262179 DDJ262179 DNF262179 DXB262179 EGX262179 EQT262179 FAP262179 FKL262179 FUH262179 GED262179 GNZ262179 GXV262179 HHR262179 HRN262179 IBJ262179 ILF262179 IVB262179 JEX262179 JOT262179 JYP262179 KIL262179 KSH262179 LCD262179 LLZ262179 LVV262179 MFR262179 MPN262179 MZJ262179 NJF262179 NTB262179 OCX262179 OMT262179 OWP262179 PGL262179 PQH262179 QAD262179 QJZ262179 QTV262179 RDR262179 RNN262179 RXJ262179 SHF262179 SRB262179 TAX262179 TKT262179 TUP262179 UEL262179 UOH262179 UYD262179 VHZ262179 VRV262179 WBR262179 WLN262179 WVJ262179 B327715 IX327715 ST327715 ACP327715 AML327715 AWH327715 BGD327715 BPZ327715 BZV327715 CJR327715 CTN327715 DDJ327715 DNF327715 DXB327715 EGX327715 EQT327715 FAP327715 FKL327715 FUH327715 GED327715 GNZ327715 GXV327715 HHR327715 HRN327715 IBJ327715 ILF327715 IVB327715 JEX327715 JOT327715 JYP327715 KIL327715 KSH327715 LCD327715 LLZ327715 LVV327715 MFR327715 MPN327715 MZJ327715 NJF327715 NTB327715 OCX327715 OMT327715 OWP327715 PGL327715 PQH327715 QAD327715 QJZ327715 QTV327715 RDR327715 RNN327715 RXJ327715 SHF327715 SRB327715 TAX327715 TKT327715 TUP327715 UEL327715 UOH327715 UYD327715 VHZ327715 VRV327715 WBR327715 WLN327715 WVJ327715 B393251 IX393251 ST393251 ACP393251 AML393251 AWH393251 BGD393251 BPZ393251 BZV393251 CJR393251 CTN393251 DDJ393251 DNF393251 DXB393251 EGX393251 EQT393251 FAP393251 FKL393251 FUH393251 GED393251 GNZ393251 GXV393251 HHR393251 HRN393251 IBJ393251 ILF393251 IVB393251 JEX393251 JOT393251 JYP393251 KIL393251 KSH393251 LCD393251 LLZ393251 LVV393251 MFR393251 MPN393251 MZJ393251 NJF393251 NTB393251 OCX393251 OMT393251 OWP393251 PGL393251 PQH393251 QAD393251 QJZ393251 QTV393251 RDR393251 RNN393251 RXJ393251 SHF393251 SRB393251 TAX393251 TKT393251 TUP393251 UEL393251 UOH393251 UYD393251 VHZ393251 VRV393251 WBR393251 WLN393251 WVJ393251 B458787 IX458787 ST458787 ACP458787 AML458787 AWH458787 BGD458787 BPZ458787 BZV458787 CJR458787 CTN458787 DDJ458787 DNF458787 DXB458787 EGX458787 EQT458787 FAP458787 FKL458787 FUH458787 GED458787 GNZ458787 GXV458787 HHR458787 HRN458787 IBJ458787 ILF458787 IVB458787 JEX458787 JOT458787 JYP458787 KIL458787 KSH458787 LCD458787 LLZ458787 LVV458787 MFR458787 MPN458787 MZJ458787 NJF458787 NTB458787 OCX458787 OMT458787 OWP458787 PGL458787 PQH458787 QAD458787 QJZ458787 QTV458787 RDR458787 RNN458787 RXJ458787 SHF458787 SRB458787 TAX458787 TKT458787 TUP458787 UEL458787 UOH458787 UYD458787 VHZ458787 VRV458787 WBR458787 WLN458787 WVJ458787 B524323 IX524323 ST524323 ACP524323 AML524323 AWH524323 BGD524323 BPZ524323 BZV524323 CJR524323 CTN524323 DDJ524323 DNF524323 DXB524323 EGX524323 EQT524323 FAP524323 FKL524323 FUH524323 GED524323 GNZ524323 GXV524323 HHR524323 HRN524323 IBJ524323 ILF524323 IVB524323 JEX524323 JOT524323 JYP524323 KIL524323 KSH524323 LCD524323 LLZ524323 LVV524323 MFR524323 MPN524323 MZJ524323 NJF524323 NTB524323 OCX524323 OMT524323 OWP524323 PGL524323 PQH524323 QAD524323 QJZ524323 QTV524323 RDR524323 RNN524323 RXJ524323 SHF524323 SRB524323 TAX524323 TKT524323 TUP524323 UEL524323 UOH524323 UYD524323 VHZ524323 VRV524323 WBR524323 WLN524323 WVJ524323 B589859 IX589859 ST589859 ACP589859 AML589859 AWH589859 BGD589859 BPZ589859 BZV589859 CJR589859 CTN589859 DDJ589859 DNF589859 DXB589859 EGX589859 EQT589859 FAP589859 FKL589859 FUH589859 GED589859 GNZ589859 GXV589859 HHR589859 HRN589859 IBJ589859 ILF589859 IVB589859 JEX589859 JOT589859 JYP589859 KIL589859 KSH589859 LCD589859 LLZ589859 LVV589859 MFR589859 MPN589859 MZJ589859 NJF589859 NTB589859 OCX589859 OMT589859 OWP589859 PGL589859 PQH589859 QAD589859 QJZ589859 QTV589859 RDR589859 RNN589859 RXJ589859 SHF589859 SRB589859 TAX589859 TKT589859 TUP589859 UEL589859 UOH589859 UYD589859 VHZ589859 VRV589859 WBR589859 WLN589859 WVJ589859 B655395 IX655395 ST655395 ACP655395 AML655395 AWH655395 BGD655395 BPZ655395 BZV655395 CJR655395 CTN655395 DDJ655395 DNF655395 DXB655395 EGX655395 EQT655395 FAP655395 FKL655395 FUH655395 GED655395 GNZ655395 GXV655395 HHR655395 HRN655395 IBJ655395 ILF655395 IVB655395 JEX655395 JOT655395 JYP655395 KIL655395 KSH655395 LCD655395 LLZ655395 LVV655395 MFR655395 MPN655395 MZJ655395 NJF655395 NTB655395 OCX655395 OMT655395 OWP655395 PGL655395 PQH655395 QAD655395 QJZ655395 QTV655395 RDR655395 RNN655395 RXJ655395 SHF655395 SRB655395 TAX655395 TKT655395 TUP655395 UEL655395 UOH655395 UYD655395 VHZ655395 VRV655395 WBR655395 WLN655395 WVJ655395 B720931 IX720931 ST720931 ACP720931 AML720931 AWH720931 BGD720931 BPZ720931 BZV720931 CJR720931 CTN720931 DDJ720931 DNF720931 DXB720931 EGX720931 EQT720931 FAP720931 FKL720931 FUH720931 GED720931 GNZ720931 GXV720931 HHR720931 HRN720931 IBJ720931 ILF720931 IVB720931 JEX720931 JOT720931 JYP720931 KIL720931 KSH720931 LCD720931 LLZ720931 LVV720931 MFR720931 MPN720931 MZJ720931 NJF720931 NTB720931 OCX720931 OMT720931 OWP720931 PGL720931 PQH720931 QAD720931 QJZ720931 QTV720931 RDR720931 RNN720931 RXJ720931 SHF720931 SRB720931 TAX720931 TKT720931 TUP720931 UEL720931 UOH720931 UYD720931 VHZ720931 VRV720931 WBR720931 WLN720931 WVJ720931 B786467 IX786467 ST786467 ACP786467 AML786467 AWH786467 BGD786467 BPZ786467 BZV786467 CJR786467 CTN786467 DDJ786467 DNF786467 DXB786467 EGX786467 EQT786467 FAP786467 FKL786467 FUH786467 GED786467 GNZ786467 GXV786467 HHR786467 HRN786467 IBJ786467 ILF786467 IVB786467 JEX786467 JOT786467 JYP786467 KIL786467 KSH786467 LCD786467 LLZ786467 LVV786467 MFR786467 MPN786467 MZJ786467 NJF786467 NTB786467 OCX786467 OMT786467 OWP786467 PGL786467 PQH786467 QAD786467 QJZ786467 QTV786467 RDR786467 RNN786467 RXJ786467 SHF786467 SRB786467 TAX786467 TKT786467 TUP786467 UEL786467 UOH786467 UYD786467 VHZ786467 VRV786467 WBR786467 WLN786467 WVJ786467 B852003 IX852003 ST852003 ACP852003 AML852003 AWH852003 BGD852003 BPZ852003 BZV852003 CJR852003 CTN852003 DDJ852003 DNF852003 DXB852003 EGX852003 EQT852003 FAP852003 FKL852003 FUH852003 GED852003 GNZ852003 GXV852003 HHR852003 HRN852003 IBJ852003 ILF852003 IVB852003 JEX852003 JOT852003 JYP852003 KIL852003 KSH852003 LCD852003 LLZ852003 LVV852003 MFR852003 MPN852003 MZJ852003 NJF852003 NTB852003 OCX852003 OMT852003 OWP852003 PGL852003 PQH852003 QAD852003 QJZ852003 QTV852003 RDR852003 RNN852003 RXJ852003 SHF852003 SRB852003 TAX852003 TKT852003 TUP852003 UEL852003 UOH852003 UYD852003 VHZ852003 VRV852003 WBR852003 WLN852003 WVJ852003 B917539 IX917539 ST917539 ACP917539 AML917539 AWH917539 BGD917539 BPZ917539 BZV917539 CJR917539 CTN917539 DDJ917539 DNF917539 DXB917539 EGX917539 EQT917539 FAP917539 FKL917539 FUH917539 GED917539 GNZ917539 GXV917539 HHR917539 HRN917539 IBJ917539 ILF917539 IVB917539 JEX917539 JOT917539 JYP917539 KIL917539 KSH917539 LCD917539 LLZ917539 LVV917539 MFR917539 MPN917539 MZJ917539 NJF917539 NTB917539 OCX917539 OMT917539 OWP917539 PGL917539 PQH917539 QAD917539 QJZ917539 QTV917539 RDR917539 RNN917539 RXJ917539 SHF917539 SRB917539 TAX917539 TKT917539 TUP917539 UEL917539 UOH917539 UYD917539 VHZ917539 VRV917539 WBR917539 WLN917539 WVJ917539 B983075 IX983075 ST983075 ACP983075 AML983075 AWH983075 BGD983075 BPZ983075 BZV983075 CJR983075 CTN983075 DDJ983075 DNF983075 DXB983075 EGX983075 EQT983075 FAP983075 FKL983075 FUH983075 GED983075 GNZ983075 GXV983075 HHR983075 HRN983075 IBJ983075 ILF983075 IVB983075 JEX983075 JOT983075 JYP983075 KIL983075 KSH983075 LCD983075 LLZ983075 LVV983075 MFR983075 MPN983075 MZJ983075 NJF983075 NTB983075 OCX983075 OMT983075 OWP983075 PGL983075 PQH983075 QAD983075 QJZ983075 QTV983075 RDR983075 RNN983075 RXJ983075 SHF983075 SRB983075 TAX983075 TKT983075 TUP983075 UEL983075 UOH983075 UYD983075 VHZ983075 VRV983075 WBR983075 WLN983075 WVJ983075" xr:uid="{E536B50A-858F-45A2-A184-F2509AD4410D}">
      <formula1>$P$79:$P$80</formula1>
    </dataValidation>
    <dataValidation type="list" allowBlank="1" showInputMessage="1" showErrorMessage="1" sqref="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xr:uid="{C8CCF173-16F7-483A-9697-40A1F52F408A}">
      <formula1>$P$89:$P$90</formula1>
    </dataValidation>
    <dataValidation type="list" allowBlank="1" showInputMessage="1" showErrorMessage="1" sqref="B58 IX58 ST58 ACP58 AML58 AWH58 BGD58 BPZ58 BZV58 CJR58 CTN58 DDJ58 DNF58 DXB58 EGX58 EQT58 FAP58 FKL58 FUH58 GED58 GNZ58 GXV58 HHR58 HRN58 IBJ58 ILF58 IVB58 JEX58 JOT58 JYP58 KIL58 KSH58 LCD58 LLZ58 LVV58 MFR58 MPN58 MZJ58 NJF58 NTB58 OCX58 OMT58 OWP58 PGL58 PQH58 QAD58 QJZ58 QTV58 RDR58 RNN58 RXJ58 SHF58 SRB58 TAX58 TKT58 TUP58 UEL58 UOH58 UYD58 VHZ58 VRV58 WBR58 WLN58 WVJ58 B65594 IX65594 ST65594 ACP65594 AML65594 AWH65594 BGD65594 BPZ65594 BZV65594 CJR65594 CTN65594 DDJ65594 DNF65594 DXB65594 EGX65594 EQT65594 FAP65594 FKL65594 FUH65594 GED65594 GNZ65594 GXV65594 HHR65594 HRN65594 IBJ65594 ILF65594 IVB65594 JEX65594 JOT65594 JYP65594 KIL65594 KSH65594 LCD65594 LLZ65594 LVV65594 MFR65594 MPN65594 MZJ65594 NJF65594 NTB65594 OCX65594 OMT65594 OWP65594 PGL65594 PQH65594 QAD65594 QJZ65594 QTV65594 RDR65594 RNN65594 RXJ65594 SHF65594 SRB65594 TAX65594 TKT65594 TUP65594 UEL65594 UOH65594 UYD65594 VHZ65594 VRV65594 WBR65594 WLN65594 WVJ65594 B131130 IX131130 ST131130 ACP131130 AML131130 AWH131130 BGD131130 BPZ131130 BZV131130 CJR131130 CTN131130 DDJ131130 DNF131130 DXB131130 EGX131130 EQT131130 FAP131130 FKL131130 FUH131130 GED131130 GNZ131130 GXV131130 HHR131130 HRN131130 IBJ131130 ILF131130 IVB131130 JEX131130 JOT131130 JYP131130 KIL131130 KSH131130 LCD131130 LLZ131130 LVV131130 MFR131130 MPN131130 MZJ131130 NJF131130 NTB131130 OCX131130 OMT131130 OWP131130 PGL131130 PQH131130 QAD131130 QJZ131130 QTV131130 RDR131130 RNN131130 RXJ131130 SHF131130 SRB131130 TAX131130 TKT131130 TUP131130 UEL131130 UOH131130 UYD131130 VHZ131130 VRV131130 WBR131130 WLN131130 WVJ131130 B196666 IX196666 ST196666 ACP196666 AML196666 AWH196666 BGD196666 BPZ196666 BZV196666 CJR196666 CTN196666 DDJ196666 DNF196666 DXB196666 EGX196666 EQT196666 FAP196666 FKL196666 FUH196666 GED196666 GNZ196666 GXV196666 HHR196666 HRN196666 IBJ196666 ILF196666 IVB196666 JEX196666 JOT196666 JYP196666 KIL196666 KSH196666 LCD196666 LLZ196666 LVV196666 MFR196666 MPN196666 MZJ196666 NJF196666 NTB196666 OCX196666 OMT196666 OWP196666 PGL196666 PQH196666 QAD196666 QJZ196666 QTV196666 RDR196666 RNN196666 RXJ196666 SHF196666 SRB196666 TAX196666 TKT196666 TUP196666 UEL196666 UOH196666 UYD196666 VHZ196666 VRV196666 WBR196666 WLN196666 WVJ196666 B262202 IX262202 ST262202 ACP262202 AML262202 AWH262202 BGD262202 BPZ262202 BZV262202 CJR262202 CTN262202 DDJ262202 DNF262202 DXB262202 EGX262202 EQT262202 FAP262202 FKL262202 FUH262202 GED262202 GNZ262202 GXV262202 HHR262202 HRN262202 IBJ262202 ILF262202 IVB262202 JEX262202 JOT262202 JYP262202 KIL262202 KSH262202 LCD262202 LLZ262202 LVV262202 MFR262202 MPN262202 MZJ262202 NJF262202 NTB262202 OCX262202 OMT262202 OWP262202 PGL262202 PQH262202 QAD262202 QJZ262202 QTV262202 RDR262202 RNN262202 RXJ262202 SHF262202 SRB262202 TAX262202 TKT262202 TUP262202 UEL262202 UOH262202 UYD262202 VHZ262202 VRV262202 WBR262202 WLN262202 WVJ262202 B327738 IX327738 ST327738 ACP327738 AML327738 AWH327738 BGD327738 BPZ327738 BZV327738 CJR327738 CTN327738 DDJ327738 DNF327738 DXB327738 EGX327738 EQT327738 FAP327738 FKL327738 FUH327738 GED327738 GNZ327738 GXV327738 HHR327738 HRN327738 IBJ327738 ILF327738 IVB327738 JEX327738 JOT327738 JYP327738 KIL327738 KSH327738 LCD327738 LLZ327738 LVV327738 MFR327738 MPN327738 MZJ327738 NJF327738 NTB327738 OCX327738 OMT327738 OWP327738 PGL327738 PQH327738 QAD327738 QJZ327738 QTV327738 RDR327738 RNN327738 RXJ327738 SHF327738 SRB327738 TAX327738 TKT327738 TUP327738 UEL327738 UOH327738 UYD327738 VHZ327738 VRV327738 WBR327738 WLN327738 WVJ327738 B393274 IX393274 ST393274 ACP393274 AML393274 AWH393274 BGD393274 BPZ393274 BZV393274 CJR393274 CTN393274 DDJ393274 DNF393274 DXB393274 EGX393274 EQT393274 FAP393274 FKL393274 FUH393274 GED393274 GNZ393274 GXV393274 HHR393274 HRN393274 IBJ393274 ILF393274 IVB393274 JEX393274 JOT393274 JYP393274 KIL393274 KSH393274 LCD393274 LLZ393274 LVV393274 MFR393274 MPN393274 MZJ393274 NJF393274 NTB393274 OCX393274 OMT393274 OWP393274 PGL393274 PQH393274 QAD393274 QJZ393274 QTV393274 RDR393274 RNN393274 RXJ393274 SHF393274 SRB393274 TAX393274 TKT393274 TUP393274 UEL393274 UOH393274 UYD393274 VHZ393274 VRV393274 WBR393274 WLN393274 WVJ393274 B458810 IX458810 ST458810 ACP458810 AML458810 AWH458810 BGD458810 BPZ458810 BZV458810 CJR458810 CTN458810 DDJ458810 DNF458810 DXB458810 EGX458810 EQT458810 FAP458810 FKL458810 FUH458810 GED458810 GNZ458810 GXV458810 HHR458810 HRN458810 IBJ458810 ILF458810 IVB458810 JEX458810 JOT458810 JYP458810 KIL458810 KSH458810 LCD458810 LLZ458810 LVV458810 MFR458810 MPN458810 MZJ458810 NJF458810 NTB458810 OCX458810 OMT458810 OWP458810 PGL458810 PQH458810 QAD458810 QJZ458810 QTV458810 RDR458810 RNN458810 RXJ458810 SHF458810 SRB458810 TAX458810 TKT458810 TUP458810 UEL458810 UOH458810 UYD458810 VHZ458810 VRV458810 WBR458810 WLN458810 WVJ458810 B524346 IX524346 ST524346 ACP524346 AML524346 AWH524346 BGD524346 BPZ524346 BZV524346 CJR524346 CTN524346 DDJ524346 DNF524346 DXB524346 EGX524346 EQT524346 FAP524346 FKL524346 FUH524346 GED524346 GNZ524346 GXV524346 HHR524346 HRN524346 IBJ524346 ILF524346 IVB524346 JEX524346 JOT524346 JYP524346 KIL524346 KSH524346 LCD524346 LLZ524346 LVV524346 MFR524346 MPN524346 MZJ524346 NJF524346 NTB524346 OCX524346 OMT524346 OWP524346 PGL524346 PQH524346 QAD524346 QJZ524346 QTV524346 RDR524346 RNN524346 RXJ524346 SHF524346 SRB524346 TAX524346 TKT524346 TUP524346 UEL524346 UOH524346 UYD524346 VHZ524346 VRV524346 WBR524346 WLN524346 WVJ524346 B589882 IX589882 ST589882 ACP589882 AML589882 AWH589882 BGD589882 BPZ589882 BZV589882 CJR589882 CTN589882 DDJ589882 DNF589882 DXB589882 EGX589882 EQT589882 FAP589882 FKL589882 FUH589882 GED589882 GNZ589882 GXV589882 HHR589882 HRN589882 IBJ589882 ILF589882 IVB589882 JEX589882 JOT589882 JYP589882 KIL589882 KSH589882 LCD589882 LLZ589882 LVV589882 MFR589882 MPN589882 MZJ589882 NJF589882 NTB589882 OCX589882 OMT589882 OWP589882 PGL589882 PQH589882 QAD589882 QJZ589882 QTV589882 RDR589882 RNN589882 RXJ589882 SHF589882 SRB589882 TAX589882 TKT589882 TUP589882 UEL589882 UOH589882 UYD589882 VHZ589882 VRV589882 WBR589882 WLN589882 WVJ589882 B655418 IX655418 ST655418 ACP655418 AML655418 AWH655418 BGD655418 BPZ655418 BZV655418 CJR655418 CTN655418 DDJ655418 DNF655418 DXB655418 EGX655418 EQT655418 FAP655418 FKL655418 FUH655418 GED655418 GNZ655418 GXV655418 HHR655418 HRN655418 IBJ655418 ILF655418 IVB655418 JEX655418 JOT655418 JYP655418 KIL655418 KSH655418 LCD655418 LLZ655418 LVV655418 MFR655418 MPN655418 MZJ655418 NJF655418 NTB655418 OCX655418 OMT655418 OWP655418 PGL655418 PQH655418 QAD655418 QJZ655418 QTV655418 RDR655418 RNN655418 RXJ655418 SHF655418 SRB655418 TAX655418 TKT655418 TUP655418 UEL655418 UOH655418 UYD655418 VHZ655418 VRV655418 WBR655418 WLN655418 WVJ655418 B720954 IX720954 ST720954 ACP720954 AML720954 AWH720954 BGD720954 BPZ720954 BZV720954 CJR720954 CTN720954 DDJ720954 DNF720954 DXB720954 EGX720954 EQT720954 FAP720954 FKL720954 FUH720954 GED720954 GNZ720954 GXV720954 HHR720954 HRN720954 IBJ720954 ILF720954 IVB720954 JEX720954 JOT720954 JYP720954 KIL720954 KSH720954 LCD720954 LLZ720954 LVV720954 MFR720954 MPN720954 MZJ720954 NJF720954 NTB720954 OCX720954 OMT720954 OWP720954 PGL720954 PQH720954 QAD720954 QJZ720954 QTV720954 RDR720954 RNN720954 RXJ720954 SHF720954 SRB720954 TAX720954 TKT720954 TUP720954 UEL720954 UOH720954 UYD720954 VHZ720954 VRV720954 WBR720954 WLN720954 WVJ720954 B786490 IX786490 ST786490 ACP786490 AML786490 AWH786490 BGD786490 BPZ786490 BZV786490 CJR786490 CTN786490 DDJ786490 DNF786490 DXB786490 EGX786490 EQT786490 FAP786490 FKL786490 FUH786490 GED786490 GNZ786490 GXV786490 HHR786490 HRN786490 IBJ786490 ILF786490 IVB786490 JEX786490 JOT786490 JYP786490 KIL786490 KSH786490 LCD786490 LLZ786490 LVV786490 MFR786490 MPN786490 MZJ786490 NJF786490 NTB786490 OCX786490 OMT786490 OWP786490 PGL786490 PQH786490 QAD786490 QJZ786490 QTV786490 RDR786490 RNN786490 RXJ786490 SHF786490 SRB786490 TAX786490 TKT786490 TUP786490 UEL786490 UOH786490 UYD786490 VHZ786490 VRV786490 WBR786490 WLN786490 WVJ786490 B852026 IX852026 ST852026 ACP852026 AML852026 AWH852026 BGD852026 BPZ852026 BZV852026 CJR852026 CTN852026 DDJ852026 DNF852026 DXB852026 EGX852026 EQT852026 FAP852026 FKL852026 FUH852026 GED852026 GNZ852026 GXV852026 HHR852026 HRN852026 IBJ852026 ILF852026 IVB852026 JEX852026 JOT852026 JYP852026 KIL852026 KSH852026 LCD852026 LLZ852026 LVV852026 MFR852026 MPN852026 MZJ852026 NJF852026 NTB852026 OCX852026 OMT852026 OWP852026 PGL852026 PQH852026 QAD852026 QJZ852026 QTV852026 RDR852026 RNN852026 RXJ852026 SHF852026 SRB852026 TAX852026 TKT852026 TUP852026 UEL852026 UOH852026 UYD852026 VHZ852026 VRV852026 WBR852026 WLN852026 WVJ852026 B917562 IX917562 ST917562 ACP917562 AML917562 AWH917562 BGD917562 BPZ917562 BZV917562 CJR917562 CTN917562 DDJ917562 DNF917562 DXB917562 EGX917562 EQT917562 FAP917562 FKL917562 FUH917562 GED917562 GNZ917562 GXV917562 HHR917562 HRN917562 IBJ917562 ILF917562 IVB917562 JEX917562 JOT917562 JYP917562 KIL917562 KSH917562 LCD917562 LLZ917562 LVV917562 MFR917562 MPN917562 MZJ917562 NJF917562 NTB917562 OCX917562 OMT917562 OWP917562 PGL917562 PQH917562 QAD917562 QJZ917562 QTV917562 RDR917562 RNN917562 RXJ917562 SHF917562 SRB917562 TAX917562 TKT917562 TUP917562 UEL917562 UOH917562 UYD917562 VHZ917562 VRV917562 WBR917562 WLN917562 WVJ917562 B983098 IX983098 ST983098 ACP983098 AML983098 AWH983098 BGD983098 BPZ983098 BZV983098 CJR983098 CTN983098 DDJ983098 DNF983098 DXB983098 EGX983098 EQT983098 FAP983098 FKL983098 FUH983098 GED983098 GNZ983098 GXV983098 HHR983098 HRN983098 IBJ983098 ILF983098 IVB983098 JEX983098 JOT983098 JYP983098 KIL983098 KSH983098 LCD983098 LLZ983098 LVV983098 MFR983098 MPN983098 MZJ983098 NJF983098 NTB983098 OCX983098 OMT983098 OWP983098 PGL983098 PQH983098 QAD983098 QJZ983098 QTV983098 RDR983098 RNN983098 RXJ983098 SHF983098 SRB983098 TAX983098 TKT983098 TUP983098 UEL983098 UOH983098 UYD983098 VHZ983098 VRV983098 WBR983098 WLN983098 WVJ983098" xr:uid="{B72B31D8-F654-43D0-B43F-B3980356B07B}">
      <formula1>$A$44:$A$53</formula1>
    </dataValidation>
    <dataValidation type="list" allowBlank="1" showInputMessage="1" showErrorMessage="1" sqref="B60 IX60 ST60 ACP60 AML60 AWH60 BGD60 BPZ60 BZV60 CJR60 CTN60 DDJ60 DNF60 DXB60 EGX60 EQT60 FAP60 FKL60 FUH60 GED60 GNZ60 GXV60 HHR60 HRN60 IBJ60 ILF60 IVB60 JEX60 JOT60 JYP60 KIL60 KSH60 LCD60 LLZ60 LVV60 MFR60 MPN60 MZJ60 NJF60 NTB60 OCX60 OMT60 OWP60 PGL60 PQH60 QAD60 QJZ60 QTV60 RDR60 RNN60 RXJ60 SHF60 SRB60 TAX60 TKT60 TUP60 UEL60 UOH60 UYD60 VHZ60 VRV60 WBR60 WLN60 WVJ60 B65596 IX65596 ST65596 ACP65596 AML65596 AWH65596 BGD65596 BPZ65596 BZV65596 CJR65596 CTN65596 DDJ65596 DNF65596 DXB65596 EGX65596 EQT65596 FAP65596 FKL65596 FUH65596 GED65596 GNZ65596 GXV65596 HHR65596 HRN65596 IBJ65596 ILF65596 IVB65596 JEX65596 JOT65596 JYP65596 KIL65596 KSH65596 LCD65596 LLZ65596 LVV65596 MFR65596 MPN65596 MZJ65596 NJF65596 NTB65596 OCX65596 OMT65596 OWP65596 PGL65596 PQH65596 QAD65596 QJZ65596 QTV65596 RDR65596 RNN65596 RXJ65596 SHF65596 SRB65596 TAX65596 TKT65596 TUP65596 UEL65596 UOH65596 UYD65596 VHZ65596 VRV65596 WBR65596 WLN65596 WVJ65596 B131132 IX131132 ST131132 ACP131132 AML131132 AWH131132 BGD131132 BPZ131132 BZV131132 CJR131132 CTN131132 DDJ131132 DNF131132 DXB131132 EGX131132 EQT131132 FAP131132 FKL131132 FUH131132 GED131132 GNZ131132 GXV131132 HHR131132 HRN131132 IBJ131132 ILF131132 IVB131132 JEX131132 JOT131132 JYP131132 KIL131132 KSH131132 LCD131132 LLZ131132 LVV131132 MFR131132 MPN131132 MZJ131132 NJF131132 NTB131132 OCX131132 OMT131132 OWP131132 PGL131132 PQH131132 QAD131132 QJZ131132 QTV131132 RDR131132 RNN131132 RXJ131132 SHF131132 SRB131132 TAX131132 TKT131132 TUP131132 UEL131132 UOH131132 UYD131132 VHZ131132 VRV131132 WBR131132 WLN131132 WVJ131132 B196668 IX196668 ST196668 ACP196668 AML196668 AWH196668 BGD196668 BPZ196668 BZV196668 CJR196668 CTN196668 DDJ196668 DNF196668 DXB196668 EGX196668 EQT196668 FAP196668 FKL196668 FUH196668 GED196668 GNZ196668 GXV196668 HHR196668 HRN196668 IBJ196668 ILF196668 IVB196668 JEX196668 JOT196668 JYP196668 KIL196668 KSH196668 LCD196668 LLZ196668 LVV196668 MFR196668 MPN196668 MZJ196668 NJF196668 NTB196668 OCX196668 OMT196668 OWP196668 PGL196668 PQH196668 QAD196668 QJZ196668 QTV196668 RDR196668 RNN196668 RXJ196668 SHF196668 SRB196668 TAX196668 TKT196668 TUP196668 UEL196668 UOH196668 UYD196668 VHZ196668 VRV196668 WBR196668 WLN196668 WVJ196668 B262204 IX262204 ST262204 ACP262204 AML262204 AWH262204 BGD262204 BPZ262204 BZV262204 CJR262204 CTN262204 DDJ262204 DNF262204 DXB262204 EGX262204 EQT262204 FAP262204 FKL262204 FUH262204 GED262204 GNZ262204 GXV262204 HHR262204 HRN262204 IBJ262204 ILF262204 IVB262204 JEX262204 JOT262204 JYP262204 KIL262204 KSH262204 LCD262204 LLZ262204 LVV262204 MFR262204 MPN262204 MZJ262204 NJF262204 NTB262204 OCX262204 OMT262204 OWP262204 PGL262204 PQH262204 QAD262204 QJZ262204 QTV262204 RDR262204 RNN262204 RXJ262204 SHF262204 SRB262204 TAX262204 TKT262204 TUP262204 UEL262204 UOH262204 UYD262204 VHZ262204 VRV262204 WBR262204 WLN262204 WVJ262204 B327740 IX327740 ST327740 ACP327740 AML327740 AWH327740 BGD327740 BPZ327740 BZV327740 CJR327740 CTN327740 DDJ327740 DNF327740 DXB327740 EGX327740 EQT327740 FAP327740 FKL327740 FUH327740 GED327740 GNZ327740 GXV327740 HHR327740 HRN327740 IBJ327740 ILF327740 IVB327740 JEX327740 JOT327740 JYP327740 KIL327740 KSH327740 LCD327740 LLZ327740 LVV327740 MFR327740 MPN327740 MZJ327740 NJF327740 NTB327740 OCX327740 OMT327740 OWP327740 PGL327740 PQH327740 QAD327740 QJZ327740 QTV327740 RDR327740 RNN327740 RXJ327740 SHF327740 SRB327740 TAX327740 TKT327740 TUP327740 UEL327740 UOH327740 UYD327740 VHZ327740 VRV327740 WBR327740 WLN327740 WVJ327740 B393276 IX393276 ST393276 ACP393276 AML393276 AWH393276 BGD393276 BPZ393276 BZV393276 CJR393276 CTN393276 DDJ393276 DNF393276 DXB393276 EGX393276 EQT393276 FAP393276 FKL393276 FUH393276 GED393276 GNZ393276 GXV393276 HHR393276 HRN393276 IBJ393276 ILF393276 IVB393276 JEX393276 JOT393276 JYP393276 KIL393276 KSH393276 LCD393276 LLZ393276 LVV393276 MFR393276 MPN393276 MZJ393276 NJF393276 NTB393276 OCX393276 OMT393276 OWP393276 PGL393276 PQH393276 QAD393276 QJZ393276 QTV393276 RDR393276 RNN393276 RXJ393276 SHF393276 SRB393276 TAX393276 TKT393276 TUP393276 UEL393276 UOH393276 UYD393276 VHZ393276 VRV393276 WBR393276 WLN393276 WVJ393276 B458812 IX458812 ST458812 ACP458812 AML458812 AWH458812 BGD458812 BPZ458812 BZV458812 CJR458812 CTN458812 DDJ458812 DNF458812 DXB458812 EGX458812 EQT458812 FAP458812 FKL458812 FUH458812 GED458812 GNZ458812 GXV458812 HHR458812 HRN458812 IBJ458812 ILF458812 IVB458812 JEX458812 JOT458812 JYP458812 KIL458812 KSH458812 LCD458812 LLZ458812 LVV458812 MFR458812 MPN458812 MZJ458812 NJF458812 NTB458812 OCX458812 OMT458812 OWP458812 PGL458812 PQH458812 QAD458812 QJZ458812 QTV458812 RDR458812 RNN458812 RXJ458812 SHF458812 SRB458812 TAX458812 TKT458812 TUP458812 UEL458812 UOH458812 UYD458812 VHZ458812 VRV458812 WBR458812 WLN458812 WVJ458812 B524348 IX524348 ST524348 ACP524348 AML524348 AWH524348 BGD524348 BPZ524348 BZV524348 CJR524348 CTN524348 DDJ524348 DNF524348 DXB524348 EGX524348 EQT524348 FAP524348 FKL524348 FUH524348 GED524348 GNZ524348 GXV524348 HHR524348 HRN524348 IBJ524348 ILF524348 IVB524348 JEX524348 JOT524348 JYP524348 KIL524348 KSH524348 LCD524348 LLZ524348 LVV524348 MFR524348 MPN524348 MZJ524348 NJF524348 NTB524348 OCX524348 OMT524348 OWP524348 PGL524348 PQH524348 QAD524348 QJZ524348 QTV524348 RDR524348 RNN524348 RXJ524348 SHF524348 SRB524348 TAX524348 TKT524348 TUP524348 UEL524348 UOH524348 UYD524348 VHZ524348 VRV524348 WBR524348 WLN524348 WVJ524348 B589884 IX589884 ST589884 ACP589884 AML589884 AWH589884 BGD589884 BPZ589884 BZV589884 CJR589884 CTN589884 DDJ589884 DNF589884 DXB589884 EGX589884 EQT589884 FAP589884 FKL589884 FUH589884 GED589884 GNZ589884 GXV589884 HHR589884 HRN589884 IBJ589884 ILF589884 IVB589884 JEX589884 JOT589884 JYP589884 KIL589884 KSH589884 LCD589884 LLZ589884 LVV589884 MFR589884 MPN589884 MZJ589884 NJF589884 NTB589884 OCX589884 OMT589884 OWP589884 PGL589884 PQH589884 QAD589884 QJZ589884 QTV589884 RDR589884 RNN589884 RXJ589884 SHF589884 SRB589884 TAX589884 TKT589884 TUP589884 UEL589884 UOH589884 UYD589884 VHZ589884 VRV589884 WBR589884 WLN589884 WVJ589884 B655420 IX655420 ST655420 ACP655420 AML655420 AWH655420 BGD655420 BPZ655420 BZV655420 CJR655420 CTN655420 DDJ655420 DNF655420 DXB655420 EGX655420 EQT655420 FAP655420 FKL655420 FUH655420 GED655420 GNZ655420 GXV655420 HHR655420 HRN655420 IBJ655420 ILF655420 IVB655420 JEX655420 JOT655420 JYP655420 KIL655420 KSH655420 LCD655420 LLZ655420 LVV655420 MFR655420 MPN655420 MZJ655420 NJF655420 NTB655420 OCX655420 OMT655420 OWP655420 PGL655420 PQH655420 QAD655420 QJZ655420 QTV655420 RDR655420 RNN655420 RXJ655420 SHF655420 SRB655420 TAX655420 TKT655420 TUP655420 UEL655420 UOH655420 UYD655420 VHZ655420 VRV655420 WBR655420 WLN655420 WVJ655420 B720956 IX720956 ST720956 ACP720956 AML720956 AWH720956 BGD720956 BPZ720956 BZV720956 CJR720956 CTN720956 DDJ720956 DNF720956 DXB720956 EGX720956 EQT720956 FAP720956 FKL720956 FUH720956 GED720956 GNZ720956 GXV720956 HHR720956 HRN720956 IBJ720956 ILF720956 IVB720956 JEX720956 JOT720956 JYP720956 KIL720956 KSH720956 LCD720956 LLZ720956 LVV720956 MFR720956 MPN720956 MZJ720956 NJF720956 NTB720956 OCX720956 OMT720956 OWP720956 PGL720956 PQH720956 QAD720956 QJZ720956 QTV720956 RDR720956 RNN720956 RXJ720956 SHF720956 SRB720956 TAX720956 TKT720956 TUP720956 UEL720956 UOH720956 UYD720956 VHZ720956 VRV720956 WBR720956 WLN720956 WVJ720956 B786492 IX786492 ST786492 ACP786492 AML786492 AWH786492 BGD786492 BPZ786492 BZV786492 CJR786492 CTN786492 DDJ786492 DNF786492 DXB786492 EGX786492 EQT786492 FAP786492 FKL786492 FUH786492 GED786492 GNZ786492 GXV786492 HHR786492 HRN786492 IBJ786492 ILF786492 IVB786492 JEX786492 JOT786492 JYP786492 KIL786492 KSH786492 LCD786492 LLZ786492 LVV786492 MFR786492 MPN786492 MZJ786492 NJF786492 NTB786492 OCX786492 OMT786492 OWP786492 PGL786492 PQH786492 QAD786492 QJZ786492 QTV786492 RDR786492 RNN786492 RXJ786492 SHF786492 SRB786492 TAX786492 TKT786492 TUP786492 UEL786492 UOH786492 UYD786492 VHZ786492 VRV786492 WBR786492 WLN786492 WVJ786492 B852028 IX852028 ST852028 ACP852028 AML852028 AWH852028 BGD852028 BPZ852028 BZV852028 CJR852028 CTN852028 DDJ852028 DNF852028 DXB852028 EGX852028 EQT852028 FAP852028 FKL852028 FUH852028 GED852028 GNZ852028 GXV852028 HHR852028 HRN852028 IBJ852028 ILF852028 IVB852028 JEX852028 JOT852028 JYP852028 KIL852028 KSH852028 LCD852028 LLZ852028 LVV852028 MFR852028 MPN852028 MZJ852028 NJF852028 NTB852028 OCX852028 OMT852028 OWP852028 PGL852028 PQH852028 QAD852028 QJZ852028 QTV852028 RDR852028 RNN852028 RXJ852028 SHF852028 SRB852028 TAX852028 TKT852028 TUP852028 UEL852028 UOH852028 UYD852028 VHZ852028 VRV852028 WBR852028 WLN852028 WVJ852028 B917564 IX917564 ST917564 ACP917564 AML917564 AWH917564 BGD917564 BPZ917564 BZV917564 CJR917564 CTN917564 DDJ917564 DNF917564 DXB917564 EGX917564 EQT917564 FAP917564 FKL917564 FUH917564 GED917564 GNZ917564 GXV917564 HHR917564 HRN917564 IBJ917564 ILF917564 IVB917564 JEX917564 JOT917564 JYP917564 KIL917564 KSH917564 LCD917564 LLZ917564 LVV917564 MFR917564 MPN917564 MZJ917564 NJF917564 NTB917564 OCX917564 OMT917564 OWP917564 PGL917564 PQH917564 QAD917564 QJZ917564 QTV917564 RDR917564 RNN917564 RXJ917564 SHF917564 SRB917564 TAX917564 TKT917564 TUP917564 UEL917564 UOH917564 UYD917564 VHZ917564 VRV917564 WBR917564 WLN917564 WVJ917564 B983100 IX983100 ST983100 ACP983100 AML983100 AWH983100 BGD983100 BPZ983100 BZV983100 CJR983100 CTN983100 DDJ983100 DNF983100 DXB983100 EGX983100 EQT983100 FAP983100 FKL983100 FUH983100 GED983100 GNZ983100 GXV983100 HHR983100 HRN983100 IBJ983100 ILF983100 IVB983100 JEX983100 JOT983100 JYP983100 KIL983100 KSH983100 LCD983100 LLZ983100 LVV983100 MFR983100 MPN983100 MZJ983100 NJF983100 NTB983100 OCX983100 OMT983100 OWP983100 PGL983100 PQH983100 QAD983100 QJZ983100 QTV983100 RDR983100 RNN983100 RXJ983100 SHF983100 SRB983100 TAX983100 TKT983100 TUP983100 UEL983100 UOH983100 UYD983100 VHZ983100 VRV983100 WBR983100 WLN983100 WVJ983100" xr:uid="{128A2760-3587-41A4-8B2A-40ACDF0CEED3}">
      <formula1>$P$12:$P$18</formula1>
    </dataValidation>
    <dataValidation type="list" allowBlank="1" showInputMessage="1" showErrorMessage="1" sqref="B59 IX59 ST59 ACP59 AML59 AWH59 BGD59 BPZ59 BZV59 CJR59 CTN59 DDJ59 DNF59 DXB59 EGX59 EQT59 FAP59 FKL59 FUH59 GED59 GNZ59 GXV59 HHR59 HRN59 IBJ59 ILF59 IVB59 JEX59 JOT59 JYP59 KIL59 KSH59 LCD59 LLZ59 LVV59 MFR59 MPN59 MZJ59 NJF59 NTB59 OCX59 OMT59 OWP59 PGL59 PQH59 QAD59 QJZ59 QTV59 RDR59 RNN59 RXJ59 SHF59 SRB59 TAX59 TKT59 TUP59 UEL59 UOH59 UYD59 VHZ59 VRV59 WBR59 WLN59 WVJ59 B65595 IX65595 ST65595 ACP65595 AML65595 AWH65595 BGD65595 BPZ65595 BZV65595 CJR65595 CTN65595 DDJ65595 DNF65595 DXB65595 EGX65595 EQT65595 FAP65595 FKL65595 FUH65595 GED65595 GNZ65595 GXV65595 HHR65595 HRN65595 IBJ65595 ILF65595 IVB65595 JEX65595 JOT65595 JYP65595 KIL65595 KSH65595 LCD65595 LLZ65595 LVV65595 MFR65595 MPN65595 MZJ65595 NJF65595 NTB65595 OCX65595 OMT65595 OWP65595 PGL65595 PQH65595 QAD65595 QJZ65595 QTV65595 RDR65595 RNN65595 RXJ65595 SHF65595 SRB65595 TAX65595 TKT65595 TUP65595 UEL65595 UOH65595 UYD65595 VHZ65595 VRV65595 WBR65595 WLN65595 WVJ65595 B131131 IX131131 ST131131 ACP131131 AML131131 AWH131131 BGD131131 BPZ131131 BZV131131 CJR131131 CTN131131 DDJ131131 DNF131131 DXB131131 EGX131131 EQT131131 FAP131131 FKL131131 FUH131131 GED131131 GNZ131131 GXV131131 HHR131131 HRN131131 IBJ131131 ILF131131 IVB131131 JEX131131 JOT131131 JYP131131 KIL131131 KSH131131 LCD131131 LLZ131131 LVV131131 MFR131131 MPN131131 MZJ131131 NJF131131 NTB131131 OCX131131 OMT131131 OWP131131 PGL131131 PQH131131 QAD131131 QJZ131131 QTV131131 RDR131131 RNN131131 RXJ131131 SHF131131 SRB131131 TAX131131 TKT131131 TUP131131 UEL131131 UOH131131 UYD131131 VHZ131131 VRV131131 WBR131131 WLN131131 WVJ131131 B196667 IX196667 ST196667 ACP196667 AML196667 AWH196667 BGD196667 BPZ196667 BZV196667 CJR196667 CTN196667 DDJ196667 DNF196667 DXB196667 EGX196667 EQT196667 FAP196667 FKL196667 FUH196667 GED196667 GNZ196667 GXV196667 HHR196667 HRN196667 IBJ196667 ILF196667 IVB196667 JEX196667 JOT196667 JYP196667 KIL196667 KSH196667 LCD196667 LLZ196667 LVV196667 MFR196667 MPN196667 MZJ196667 NJF196667 NTB196667 OCX196667 OMT196667 OWP196667 PGL196667 PQH196667 QAD196667 QJZ196667 QTV196667 RDR196667 RNN196667 RXJ196667 SHF196667 SRB196667 TAX196667 TKT196667 TUP196667 UEL196667 UOH196667 UYD196667 VHZ196667 VRV196667 WBR196667 WLN196667 WVJ196667 B262203 IX262203 ST262203 ACP262203 AML262203 AWH262203 BGD262203 BPZ262203 BZV262203 CJR262203 CTN262203 DDJ262203 DNF262203 DXB262203 EGX262203 EQT262203 FAP262203 FKL262203 FUH262203 GED262203 GNZ262203 GXV262203 HHR262203 HRN262203 IBJ262203 ILF262203 IVB262203 JEX262203 JOT262203 JYP262203 KIL262203 KSH262203 LCD262203 LLZ262203 LVV262203 MFR262203 MPN262203 MZJ262203 NJF262203 NTB262203 OCX262203 OMT262203 OWP262203 PGL262203 PQH262203 QAD262203 QJZ262203 QTV262203 RDR262203 RNN262203 RXJ262203 SHF262203 SRB262203 TAX262203 TKT262203 TUP262203 UEL262203 UOH262203 UYD262203 VHZ262203 VRV262203 WBR262203 WLN262203 WVJ262203 B327739 IX327739 ST327739 ACP327739 AML327739 AWH327739 BGD327739 BPZ327739 BZV327739 CJR327739 CTN327739 DDJ327739 DNF327739 DXB327739 EGX327739 EQT327739 FAP327739 FKL327739 FUH327739 GED327739 GNZ327739 GXV327739 HHR327739 HRN327739 IBJ327739 ILF327739 IVB327739 JEX327739 JOT327739 JYP327739 KIL327739 KSH327739 LCD327739 LLZ327739 LVV327739 MFR327739 MPN327739 MZJ327739 NJF327739 NTB327739 OCX327739 OMT327739 OWP327739 PGL327739 PQH327739 QAD327739 QJZ327739 QTV327739 RDR327739 RNN327739 RXJ327739 SHF327739 SRB327739 TAX327739 TKT327739 TUP327739 UEL327739 UOH327739 UYD327739 VHZ327739 VRV327739 WBR327739 WLN327739 WVJ327739 B393275 IX393275 ST393275 ACP393275 AML393275 AWH393275 BGD393275 BPZ393275 BZV393275 CJR393275 CTN393275 DDJ393275 DNF393275 DXB393275 EGX393275 EQT393275 FAP393275 FKL393275 FUH393275 GED393275 GNZ393275 GXV393275 HHR393275 HRN393275 IBJ393275 ILF393275 IVB393275 JEX393275 JOT393275 JYP393275 KIL393275 KSH393275 LCD393275 LLZ393275 LVV393275 MFR393275 MPN393275 MZJ393275 NJF393275 NTB393275 OCX393275 OMT393275 OWP393275 PGL393275 PQH393275 QAD393275 QJZ393275 QTV393275 RDR393275 RNN393275 RXJ393275 SHF393275 SRB393275 TAX393275 TKT393275 TUP393275 UEL393275 UOH393275 UYD393275 VHZ393275 VRV393275 WBR393275 WLN393275 WVJ393275 B458811 IX458811 ST458811 ACP458811 AML458811 AWH458811 BGD458811 BPZ458811 BZV458811 CJR458811 CTN458811 DDJ458811 DNF458811 DXB458811 EGX458811 EQT458811 FAP458811 FKL458811 FUH458811 GED458811 GNZ458811 GXV458811 HHR458811 HRN458811 IBJ458811 ILF458811 IVB458811 JEX458811 JOT458811 JYP458811 KIL458811 KSH458811 LCD458811 LLZ458811 LVV458811 MFR458811 MPN458811 MZJ458811 NJF458811 NTB458811 OCX458811 OMT458811 OWP458811 PGL458811 PQH458811 QAD458811 QJZ458811 QTV458811 RDR458811 RNN458811 RXJ458811 SHF458811 SRB458811 TAX458811 TKT458811 TUP458811 UEL458811 UOH458811 UYD458811 VHZ458811 VRV458811 WBR458811 WLN458811 WVJ458811 B524347 IX524347 ST524347 ACP524347 AML524347 AWH524347 BGD524347 BPZ524347 BZV524347 CJR524347 CTN524347 DDJ524347 DNF524347 DXB524347 EGX524347 EQT524347 FAP524347 FKL524347 FUH524347 GED524347 GNZ524347 GXV524347 HHR524347 HRN524347 IBJ524347 ILF524347 IVB524347 JEX524347 JOT524347 JYP524347 KIL524347 KSH524347 LCD524347 LLZ524347 LVV524347 MFR524347 MPN524347 MZJ524347 NJF524347 NTB524347 OCX524347 OMT524347 OWP524347 PGL524347 PQH524347 QAD524347 QJZ524347 QTV524347 RDR524347 RNN524347 RXJ524347 SHF524347 SRB524347 TAX524347 TKT524347 TUP524347 UEL524347 UOH524347 UYD524347 VHZ524347 VRV524347 WBR524347 WLN524347 WVJ524347 B589883 IX589883 ST589883 ACP589883 AML589883 AWH589883 BGD589883 BPZ589883 BZV589883 CJR589883 CTN589883 DDJ589883 DNF589883 DXB589883 EGX589883 EQT589883 FAP589883 FKL589883 FUH589883 GED589883 GNZ589883 GXV589883 HHR589883 HRN589883 IBJ589883 ILF589883 IVB589883 JEX589883 JOT589883 JYP589883 KIL589883 KSH589883 LCD589883 LLZ589883 LVV589883 MFR589883 MPN589883 MZJ589883 NJF589883 NTB589883 OCX589883 OMT589883 OWP589883 PGL589883 PQH589883 QAD589883 QJZ589883 QTV589883 RDR589883 RNN589883 RXJ589883 SHF589883 SRB589883 TAX589883 TKT589883 TUP589883 UEL589883 UOH589883 UYD589883 VHZ589883 VRV589883 WBR589883 WLN589883 WVJ589883 B655419 IX655419 ST655419 ACP655419 AML655419 AWH655419 BGD655419 BPZ655419 BZV655419 CJR655419 CTN655419 DDJ655419 DNF655419 DXB655419 EGX655419 EQT655419 FAP655419 FKL655419 FUH655419 GED655419 GNZ655419 GXV655419 HHR655419 HRN655419 IBJ655419 ILF655419 IVB655419 JEX655419 JOT655419 JYP655419 KIL655419 KSH655419 LCD655419 LLZ655419 LVV655419 MFR655419 MPN655419 MZJ655419 NJF655419 NTB655419 OCX655419 OMT655419 OWP655419 PGL655419 PQH655419 QAD655419 QJZ655419 QTV655419 RDR655419 RNN655419 RXJ655419 SHF655419 SRB655419 TAX655419 TKT655419 TUP655419 UEL655419 UOH655419 UYD655419 VHZ655419 VRV655419 WBR655419 WLN655419 WVJ655419 B720955 IX720955 ST720955 ACP720955 AML720955 AWH720955 BGD720955 BPZ720955 BZV720955 CJR720955 CTN720955 DDJ720955 DNF720955 DXB720955 EGX720955 EQT720955 FAP720955 FKL720955 FUH720955 GED720955 GNZ720955 GXV720955 HHR720955 HRN720955 IBJ720955 ILF720955 IVB720955 JEX720955 JOT720955 JYP720955 KIL720955 KSH720955 LCD720955 LLZ720955 LVV720955 MFR720955 MPN720955 MZJ720955 NJF720955 NTB720955 OCX720955 OMT720955 OWP720955 PGL720955 PQH720955 QAD720955 QJZ720955 QTV720955 RDR720955 RNN720955 RXJ720955 SHF720955 SRB720955 TAX720955 TKT720955 TUP720955 UEL720955 UOH720955 UYD720955 VHZ720955 VRV720955 WBR720955 WLN720955 WVJ720955 B786491 IX786491 ST786491 ACP786491 AML786491 AWH786491 BGD786491 BPZ786491 BZV786491 CJR786491 CTN786491 DDJ786491 DNF786491 DXB786491 EGX786491 EQT786491 FAP786491 FKL786491 FUH786491 GED786491 GNZ786491 GXV786491 HHR786491 HRN786491 IBJ786491 ILF786491 IVB786491 JEX786491 JOT786491 JYP786491 KIL786491 KSH786491 LCD786491 LLZ786491 LVV786491 MFR786491 MPN786491 MZJ786491 NJF786491 NTB786491 OCX786491 OMT786491 OWP786491 PGL786491 PQH786491 QAD786491 QJZ786491 QTV786491 RDR786491 RNN786491 RXJ786491 SHF786491 SRB786491 TAX786491 TKT786491 TUP786491 UEL786491 UOH786491 UYD786491 VHZ786491 VRV786491 WBR786491 WLN786491 WVJ786491 B852027 IX852027 ST852027 ACP852027 AML852027 AWH852027 BGD852027 BPZ852027 BZV852027 CJR852027 CTN852027 DDJ852027 DNF852027 DXB852027 EGX852027 EQT852027 FAP852027 FKL852027 FUH852027 GED852027 GNZ852027 GXV852027 HHR852027 HRN852027 IBJ852027 ILF852027 IVB852027 JEX852027 JOT852027 JYP852027 KIL852027 KSH852027 LCD852027 LLZ852027 LVV852027 MFR852027 MPN852027 MZJ852027 NJF852027 NTB852027 OCX852027 OMT852027 OWP852027 PGL852027 PQH852027 QAD852027 QJZ852027 QTV852027 RDR852027 RNN852027 RXJ852027 SHF852027 SRB852027 TAX852027 TKT852027 TUP852027 UEL852027 UOH852027 UYD852027 VHZ852027 VRV852027 WBR852027 WLN852027 WVJ852027 B917563 IX917563 ST917563 ACP917563 AML917563 AWH917563 BGD917563 BPZ917563 BZV917563 CJR917563 CTN917563 DDJ917563 DNF917563 DXB917563 EGX917563 EQT917563 FAP917563 FKL917563 FUH917563 GED917563 GNZ917563 GXV917563 HHR917563 HRN917563 IBJ917563 ILF917563 IVB917563 JEX917563 JOT917563 JYP917563 KIL917563 KSH917563 LCD917563 LLZ917563 LVV917563 MFR917563 MPN917563 MZJ917563 NJF917563 NTB917563 OCX917563 OMT917563 OWP917563 PGL917563 PQH917563 QAD917563 QJZ917563 QTV917563 RDR917563 RNN917563 RXJ917563 SHF917563 SRB917563 TAX917563 TKT917563 TUP917563 UEL917563 UOH917563 UYD917563 VHZ917563 VRV917563 WBR917563 WLN917563 WVJ917563 B983099 IX983099 ST983099 ACP983099 AML983099 AWH983099 BGD983099 BPZ983099 BZV983099 CJR983099 CTN983099 DDJ983099 DNF983099 DXB983099 EGX983099 EQT983099 FAP983099 FKL983099 FUH983099 GED983099 GNZ983099 GXV983099 HHR983099 HRN983099 IBJ983099 ILF983099 IVB983099 JEX983099 JOT983099 JYP983099 KIL983099 KSH983099 LCD983099 LLZ983099 LVV983099 MFR983099 MPN983099 MZJ983099 NJF983099 NTB983099 OCX983099 OMT983099 OWP983099 PGL983099 PQH983099 QAD983099 QJZ983099 QTV983099 RDR983099 RNN983099 RXJ983099 SHF983099 SRB983099 TAX983099 TKT983099 TUP983099 UEL983099 UOH983099 UYD983099 VHZ983099 VRV983099 WBR983099 WLN983099 WVJ983099" xr:uid="{DCF6A1C1-9E3F-4116-86DB-C2D2267E26F5}">
      <formula1>$P$23:$P$24</formula1>
    </dataValidation>
    <dataValidation type="list" allowBlank="1" showInputMessage="1" showErrorMessage="1" sqref="B56 IX56 ST56 ACP56 AML56 AWH56 BGD56 BPZ56 BZV56 CJR56 CTN56 DDJ56 DNF56 DXB56 EGX56 EQT56 FAP56 FKL56 FUH56 GED56 GNZ56 GXV56 HHR56 HRN56 IBJ56 ILF56 IVB56 JEX56 JOT56 JYP56 KIL56 KSH56 LCD56 LLZ56 LVV56 MFR56 MPN56 MZJ56 NJF56 NTB56 OCX56 OMT56 OWP56 PGL56 PQH56 QAD56 QJZ56 QTV56 RDR56 RNN56 RXJ56 SHF56 SRB56 TAX56 TKT56 TUP56 UEL56 UOH56 UYD56 VHZ56 VRV56 WBR56 WLN56 WVJ56 B65592 IX65592 ST65592 ACP65592 AML65592 AWH65592 BGD65592 BPZ65592 BZV65592 CJR65592 CTN65592 DDJ65592 DNF65592 DXB65592 EGX65592 EQT65592 FAP65592 FKL65592 FUH65592 GED65592 GNZ65592 GXV65592 HHR65592 HRN65592 IBJ65592 ILF65592 IVB65592 JEX65592 JOT65592 JYP65592 KIL65592 KSH65592 LCD65592 LLZ65592 LVV65592 MFR65592 MPN65592 MZJ65592 NJF65592 NTB65592 OCX65592 OMT65592 OWP65592 PGL65592 PQH65592 QAD65592 QJZ65592 QTV65592 RDR65592 RNN65592 RXJ65592 SHF65592 SRB65592 TAX65592 TKT65592 TUP65592 UEL65592 UOH65592 UYD65592 VHZ65592 VRV65592 WBR65592 WLN65592 WVJ65592 B131128 IX131128 ST131128 ACP131128 AML131128 AWH131128 BGD131128 BPZ131128 BZV131128 CJR131128 CTN131128 DDJ131128 DNF131128 DXB131128 EGX131128 EQT131128 FAP131128 FKL131128 FUH131128 GED131128 GNZ131128 GXV131128 HHR131128 HRN131128 IBJ131128 ILF131128 IVB131128 JEX131128 JOT131128 JYP131128 KIL131128 KSH131128 LCD131128 LLZ131128 LVV131128 MFR131128 MPN131128 MZJ131128 NJF131128 NTB131128 OCX131128 OMT131128 OWP131128 PGL131128 PQH131128 QAD131128 QJZ131128 QTV131128 RDR131128 RNN131128 RXJ131128 SHF131128 SRB131128 TAX131128 TKT131128 TUP131128 UEL131128 UOH131128 UYD131128 VHZ131128 VRV131128 WBR131128 WLN131128 WVJ131128 B196664 IX196664 ST196664 ACP196664 AML196664 AWH196664 BGD196664 BPZ196664 BZV196664 CJR196664 CTN196664 DDJ196664 DNF196664 DXB196664 EGX196664 EQT196664 FAP196664 FKL196664 FUH196664 GED196664 GNZ196664 GXV196664 HHR196664 HRN196664 IBJ196664 ILF196664 IVB196664 JEX196664 JOT196664 JYP196664 KIL196664 KSH196664 LCD196664 LLZ196664 LVV196664 MFR196664 MPN196664 MZJ196664 NJF196664 NTB196664 OCX196664 OMT196664 OWP196664 PGL196664 PQH196664 QAD196664 QJZ196664 QTV196664 RDR196664 RNN196664 RXJ196664 SHF196664 SRB196664 TAX196664 TKT196664 TUP196664 UEL196664 UOH196664 UYD196664 VHZ196664 VRV196664 WBR196664 WLN196664 WVJ196664 B262200 IX262200 ST262200 ACP262200 AML262200 AWH262200 BGD262200 BPZ262200 BZV262200 CJR262200 CTN262200 DDJ262200 DNF262200 DXB262200 EGX262200 EQT262200 FAP262200 FKL262200 FUH262200 GED262200 GNZ262200 GXV262200 HHR262200 HRN262200 IBJ262200 ILF262200 IVB262200 JEX262200 JOT262200 JYP262200 KIL262200 KSH262200 LCD262200 LLZ262200 LVV262200 MFR262200 MPN262200 MZJ262200 NJF262200 NTB262200 OCX262200 OMT262200 OWP262200 PGL262200 PQH262200 QAD262200 QJZ262200 QTV262200 RDR262200 RNN262200 RXJ262200 SHF262200 SRB262200 TAX262200 TKT262200 TUP262200 UEL262200 UOH262200 UYD262200 VHZ262200 VRV262200 WBR262200 WLN262200 WVJ262200 B327736 IX327736 ST327736 ACP327736 AML327736 AWH327736 BGD327736 BPZ327736 BZV327736 CJR327736 CTN327736 DDJ327736 DNF327736 DXB327736 EGX327736 EQT327736 FAP327736 FKL327736 FUH327736 GED327736 GNZ327736 GXV327736 HHR327736 HRN327736 IBJ327736 ILF327736 IVB327736 JEX327736 JOT327736 JYP327736 KIL327736 KSH327736 LCD327736 LLZ327736 LVV327736 MFR327736 MPN327736 MZJ327736 NJF327736 NTB327736 OCX327736 OMT327736 OWP327736 PGL327736 PQH327736 QAD327736 QJZ327736 QTV327736 RDR327736 RNN327736 RXJ327736 SHF327736 SRB327736 TAX327736 TKT327736 TUP327736 UEL327736 UOH327736 UYD327736 VHZ327736 VRV327736 WBR327736 WLN327736 WVJ327736 B393272 IX393272 ST393272 ACP393272 AML393272 AWH393272 BGD393272 BPZ393272 BZV393272 CJR393272 CTN393272 DDJ393272 DNF393272 DXB393272 EGX393272 EQT393272 FAP393272 FKL393272 FUH393272 GED393272 GNZ393272 GXV393272 HHR393272 HRN393272 IBJ393272 ILF393272 IVB393272 JEX393272 JOT393272 JYP393272 KIL393272 KSH393272 LCD393272 LLZ393272 LVV393272 MFR393272 MPN393272 MZJ393272 NJF393272 NTB393272 OCX393272 OMT393272 OWP393272 PGL393272 PQH393272 QAD393272 QJZ393272 QTV393272 RDR393272 RNN393272 RXJ393272 SHF393272 SRB393272 TAX393272 TKT393272 TUP393272 UEL393272 UOH393272 UYD393272 VHZ393272 VRV393272 WBR393272 WLN393272 WVJ393272 B458808 IX458808 ST458808 ACP458808 AML458808 AWH458808 BGD458808 BPZ458808 BZV458808 CJR458808 CTN458808 DDJ458808 DNF458808 DXB458808 EGX458808 EQT458808 FAP458808 FKL458808 FUH458808 GED458808 GNZ458808 GXV458808 HHR458808 HRN458808 IBJ458808 ILF458808 IVB458808 JEX458808 JOT458808 JYP458808 KIL458808 KSH458808 LCD458808 LLZ458808 LVV458808 MFR458808 MPN458808 MZJ458808 NJF458808 NTB458808 OCX458808 OMT458808 OWP458808 PGL458808 PQH458808 QAD458808 QJZ458808 QTV458808 RDR458808 RNN458808 RXJ458808 SHF458808 SRB458808 TAX458808 TKT458808 TUP458808 UEL458808 UOH458808 UYD458808 VHZ458808 VRV458808 WBR458808 WLN458808 WVJ458808 B524344 IX524344 ST524344 ACP524344 AML524344 AWH524344 BGD524344 BPZ524344 BZV524344 CJR524344 CTN524344 DDJ524344 DNF524344 DXB524344 EGX524344 EQT524344 FAP524344 FKL524344 FUH524344 GED524344 GNZ524344 GXV524344 HHR524344 HRN524344 IBJ524344 ILF524344 IVB524344 JEX524344 JOT524344 JYP524344 KIL524344 KSH524344 LCD524344 LLZ524344 LVV524344 MFR524344 MPN524344 MZJ524344 NJF524344 NTB524344 OCX524344 OMT524344 OWP524344 PGL524344 PQH524344 QAD524344 QJZ524344 QTV524344 RDR524344 RNN524344 RXJ524344 SHF524344 SRB524344 TAX524344 TKT524344 TUP524344 UEL524344 UOH524344 UYD524344 VHZ524344 VRV524344 WBR524344 WLN524344 WVJ524344 B589880 IX589880 ST589880 ACP589880 AML589880 AWH589880 BGD589880 BPZ589880 BZV589880 CJR589880 CTN589880 DDJ589880 DNF589880 DXB589880 EGX589880 EQT589880 FAP589880 FKL589880 FUH589880 GED589880 GNZ589880 GXV589880 HHR589880 HRN589880 IBJ589880 ILF589880 IVB589880 JEX589880 JOT589880 JYP589880 KIL589880 KSH589880 LCD589880 LLZ589880 LVV589880 MFR589880 MPN589880 MZJ589880 NJF589880 NTB589880 OCX589880 OMT589880 OWP589880 PGL589880 PQH589880 QAD589880 QJZ589880 QTV589880 RDR589880 RNN589880 RXJ589880 SHF589880 SRB589880 TAX589880 TKT589880 TUP589880 UEL589880 UOH589880 UYD589880 VHZ589880 VRV589880 WBR589880 WLN589880 WVJ589880 B655416 IX655416 ST655416 ACP655416 AML655416 AWH655416 BGD655416 BPZ655416 BZV655416 CJR655416 CTN655416 DDJ655416 DNF655416 DXB655416 EGX655416 EQT655416 FAP655416 FKL655416 FUH655416 GED655416 GNZ655416 GXV655416 HHR655416 HRN655416 IBJ655416 ILF655416 IVB655416 JEX655416 JOT655416 JYP655416 KIL655416 KSH655416 LCD655416 LLZ655416 LVV655416 MFR655416 MPN655416 MZJ655416 NJF655416 NTB655416 OCX655416 OMT655416 OWP655416 PGL655416 PQH655416 QAD655416 QJZ655416 QTV655416 RDR655416 RNN655416 RXJ655416 SHF655416 SRB655416 TAX655416 TKT655416 TUP655416 UEL655416 UOH655416 UYD655416 VHZ655416 VRV655416 WBR655416 WLN655416 WVJ655416 B720952 IX720952 ST720952 ACP720952 AML720952 AWH720952 BGD720952 BPZ720952 BZV720952 CJR720952 CTN720952 DDJ720952 DNF720952 DXB720952 EGX720952 EQT720952 FAP720952 FKL720952 FUH720952 GED720952 GNZ720952 GXV720952 HHR720952 HRN720952 IBJ720952 ILF720952 IVB720952 JEX720952 JOT720952 JYP720952 KIL720952 KSH720952 LCD720952 LLZ720952 LVV720952 MFR720952 MPN720952 MZJ720952 NJF720952 NTB720952 OCX720952 OMT720952 OWP720952 PGL720952 PQH720952 QAD720952 QJZ720952 QTV720952 RDR720952 RNN720952 RXJ720952 SHF720952 SRB720952 TAX720952 TKT720952 TUP720952 UEL720952 UOH720952 UYD720952 VHZ720952 VRV720952 WBR720952 WLN720952 WVJ720952 B786488 IX786488 ST786488 ACP786488 AML786488 AWH786488 BGD786488 BPZ786488 BZV786488 CJR786488 CTN786488 DDJ786488 DNF786488 DXB786488 EGX786488 EQT786488 FAP786488 FKL786488 FUH786488 GED786488 GNZ786488 GXV786488 HHR786488 HRN786488 IBJ786488 ILF786488 IVB786488 JEX786488 JOT786488 JYP786488 KIL786488 KSH786488 LCD786488 LLZ786488 LVV786488 MFR786488 MPN786488 MZJ786488 NJF786488 NTB786488 OCX786488 OMT786488 OWP786488 PGL786488 PQH786488 QAD786488 QJZ786488 QTV786488 RDR786488 RNN786488 RXJ786488 SHF786488 SRB786488 TAX786488 TKT786488 TUP786488 UEL786488 UOH786488 UYD786488 VHZ786488 VRV786488 WBR786488 WLN786488 WVJ786488 B852024 IX852024 ST852024 ACP852024 AML852024 AWH852024 BGD852024 BPZ852024 BZV852024 CJR852024 CTN852024 DDJ852024 DNF852024 DXB852024 EGX852024 EQT852024 FAP852024 FKL852024 FUH852024 GED852024 GNZ852024 GXV852024 HHR852024 HRN852024 IBJ852024 ILF852024 IVB852024 JEX852024 JOT852024 JYP852024 KIL852024 KSH852024 LCD852024 LLZ852024 LVV852024 MFR852024 MPN852024 MZJ852024 NJF852024 NTB852024 OCX852024 OMT852024 OWP852024 PGL852024 PQH852024 QAD852024 QJZ852024 QTV852024 RDR852024 RNN852024 RXJ852024 SHF852024 SRB852024 TAX852024 TKT852024 TUP852024 UEL852024 UOH852024 UYD852024 VHZ852024 VRV852024 WBR852024 WLN852024 WVJ852024 B917560 IX917560 ST917560 ACP917560 AML917560 AWH917560 BGD917560 BPZ917560 BZV917560 CJR917560 CTN917560 DDJ917560 DNF917560 DXB917560 EGX917560 EQT917560 FAP917560 FKL917560 FUH917560 GED917560 GNZ917560 GXV917560 HHR917560 HRN917560 IBJ917560 ILF917560 IVB917560 JEX917560 JOT917560 JYP917560 KIL917560 KSH917560 LCD917560 LLZ917560 LVV917560 MFR917560 MPN917560 MZJ917560 NJF917560 NTB917560 OCX917560 OMT917560 OWP917560 PGL917560 PQH917560 QAD917560 QJZ917560 QTV917560 RDR917560 RNN917560 RXJ917560 SHF917560 SRB917560 TAX917560 TKT917560 TUP917560 UEL917560 UOH917560 UYD917560 VHZ917560 VRV917560 WBR917560 WLN917560 WVJ917560 B983096 IX983096 ST983096 ACP983096 AML983096 AWH983096 BGD983096 BPZ983096 BZV983096 CJR983096 CTN983096 DDJ983096 DNF983096 DXB983096 EGX983096 EQT983096 FAP983096 FKL983096 FUH983096 GED983096 GNZ983096 GXV983096 HHR983096 HRN983096 IBJ983096 ILF983096 IVB983096 JEX983096 JOT983096 JYP983096 KIL983096 KSH983096 LCD983096 LLZ983096 LVV983096 MFR983096 MPN983096 MZJ983096 NJF983096 NTB983096 OCX983096 OMT983096 OWP983096 PGL983096 PQH983096 QAD983096 QJZ983096 QTV983096 RDR983096 RNN983096 RXJ983096 SHF983096 SRB983096 TAX983096 TKT983096 TUP983096 UEL983096 UOH983096 UYD983096 VHZ983096 VRV983096 WBR983096 WLN983096 WVJ983096" xr:uid="{49FEA933-5315-4EF0-B3B4-283376A00606}">
      <formula1>$G$61:$G$62</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Configuration</vt:lpstr>
      <vt:lpstr>BASE_RATE</vt:lpstr>
      <vt:lpstr>Program_Factor</vt:lpstr>
      <vt:lpstr>Credit_Score</vt:lpstr>
      <vt:lpstr>State_Factor</vt:lpstr>
      <vt:lpstr>Product Algorithm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Putta</dc:creator>
  <cp:lastModifiedBy>Sailesh Palem</cp:lastModifiedBy>
  <dcterms:created xsi:type="dcterms:W3CDTF">2026-04-19T12:53:52Z</dcterms:created>
  <dcterms:modified xsi:type="dcterms:W3CDTF">2026-07-20T16:54:54Z</dcterms:modified>
</cp:coreProperties>
</file>