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ile\Downloads\"/>
    </mc:Choice>
  </mc:AlternateContent>
  <xr:revisionPtr revIDLastSave="0" documentId="13_ncr:1_{58499A6E-7070-4BC1-9E90-6012902961A6}" xr6:coauthVersionLast="47" xr6:coauthVersionMax="47" xr10:uidLastSave="{00000000-0000-0000-0000-000000000000}"/>
  <bookViews>
    <workbookView xWindow="-108" yWindow="-108" windowWidth="23256" windowHeight="12456" xr2:uid="{B8317E01-45DD-4F75-87D9-B695A3C3DCA7}"/>
  </bookViews>
  <sheets>
    <sheet name="Configuration" sheetId="10" r:id="rId1"/>
    <sheet name="Product Algorithm" sheetId="13" r:id="rId2"/>
  </sheets>
  <externalReferences>
    <externalReference r:id="rId3"/>
  </externalReferences>
  <definedNames>
    <definedName name="AOIBuildingRelativities">'[1]PropGL Optional Coverages'!$L$56:$M$64</definedName>
    <definedName name="AOIContentsRelativities">'[1]PropGL Optional Coverages'!$L$70:$M$78</definedName>
    <definedName name="BISublimit">'[1]PropGL Optional Coverages'!$B$71:$D$75</definedName>
    <definedName name="CountrywideECRAte">'[1]PropGL Base Rates'!#REF!</definedName>
    <definedName name="CountrywideFireRate">'[1]PropGL Base Rates'!$B$7</definedName>
    <definedName name="CountrywideLiabilityRate">'[1]PropGL Base Rates'!$B$8</definedName>
    <definedName name="creditscorecredittable">'[1]PropGL Optional Coverages'!$L$7:$M$11</definedName>
    <definedName name="DeductibleGroup">'[1]PropGL Relativities'!$J$42:$K$46</definedName>
    <definedName name="descriptionratetable">'[1]PropGL Base Rates'!$BK$218:$DJ$258</definedName>
    <definedName name="Earthquake">'[1]PropGL Optional Coverages'!$B$13:$C$17</definedName>
    <definedName name="ECBuildingConstructionGroupTabel" localSheetId="1">'[1]PropGL Relativities'!#REF!</definedName>
    <definedName name="ECBuildingConstructionGroupTabel">'[1]PropGL Relativities'!#REF!</definedName>
    <definedName name="ECBuildingConstructionGroupTable" localSheetId="1">'[1]PropGL Relativities'!#REF!</definedName>
    <definedName name="ECBuildingConstructionGroupTable">'[1]PropGL Relativities'!#REF!</definedName>
    <definedName name="ECConstructionGroupTabel" localSheetId="1">'[1]PropGL Relativities'!#REF!</definedName>
    <definedName name="ECConstructionGroupTabel">'[1]PropGL Relativities'!#REF!</definedName>
    <definedName name="ECConstructionGroupTable" localSheetId="1">'[1]PropGL Relativities'!#REF!</definedName>
    <definedName name="ECConstructionGroupTable">'[1]PropGL Relativities'!#REF!</definedName>
    <definedName name="ECContentsConstructionGroupTable" localSheetId="1">'[1]PropGL Relativities'!#REF!</definedName>
    <definedName name="ECContentsConstructionGroupTable">'[1]PropGL Relativities'!#REF!</definedName>
    <definedName name="ECContentsContructionGroupTable" localSheetId="1">'[1]PropGL Relativities'!#REF!</definedName>
    <definedName name="ECContentsContructionGroupTable">'[1]PropGL Relativities'!#REF!</definedName>
    <definedName name="ECTerritoryGroupTable" localSheetId="1">'[1]PropGL Base Rates'!#REF!</definedName>
    <definedName name="ECTerritoryGroupTable">'[1]PropGL Base Rates'!#REF!</definedName>
    <definedName name="employeebenefits">'[1]PropGL Optional Coverages'!$G$8:$I$11</definedName>
    <definedName name="FireConstructionGroupTable">'[1]PropGL Relativities'!$M$14:$N$18</definedName>
    <definedName name="FireProgramGroup">'[1]PropGL Relativities'!$M$29:$N$36</definedName>
    <definedName name="FireProtectionClassGroupTable">'[1]PropGL Relativities'!$M$22:$N$25</definedName>
    <definedName name="FireSprinklerGroup" localSheetId="1">'[1]PropGL Relativities'!#REF!</definedName>
    <definedName name="FireSprinklerGroup">'[1]PropGL Relativities'!#REF!</definedName>
    <definedName name="FireTerritoryGroupTable">'[1]PropGL Base Rates'!$B$24:$BA$63</definedName>
    <definedName name="hiredauto">'[1]PropGL Optional Coverages'!$G$33:$I$36</definedName>
    <definedName name="LiabilityHazardGradeRelativityTable">'[1]PropGL Relativities'!$J$23:$K$32</definedName>
    <definedName name="LiabilityHazardGradeTable">'[1]PropGL Relativities'!$F$9:$H$1022</definedName>
    <definedName name="LiabilityTerritoryGroupTable">'[1]PropGL Base Rates'!$B$67:$BA$106</definedName>
    <definedName name="liabincreasedlimitsgrouptable">'[1]PropGL Relativities'!$Q$22:$R$25</definedName>
    <definedName name="LiabLessorOccupancyGroup" localSheetId="1">'[1]PropGL Relativities'!#REF!</definedName>
    <definedName name="LiabLessorOccupancyGroup">'[1]PropGL Relativities'!#REF!</definedName>
    <definedName name="LiabLessorOccupancyRateGroup" localSheetId="1">'[1]PropGL Relativities'!#REF!</definedName>
    <definedName name="LiabLessorOccupancyRateGroup">'[1]PropGL Relativities'!#REF!</definedName>
    <definedName name="LiabOccupancyGroup">'[1]PropGL Relativities'!$Q$8:$R$15</definedName>
    <definedName name="propertydamagedeductible" localSheetId="1">'[1]PropGL Optional Coverages'!#REF!</definedName>
    <definedName name="propertydamagedeductible">'[1]PropGL Optional Coverages'!#REF!</definedName>
    <definedName name="PropertyHazardGradeRelativityTable">'[1]PropGL Relativities'!$J$9:$K$18</definedName>
    <definedName name="PropertyHazardGradeTable">'[1]PropGL Relativities'!$A$9:$C$1022</definedName>
    <definedName name="StateGroupTable">'[1]PropGL Base Rates'!$FO$8:$FP$58</definedName>
    <definedName name="StateRateGroupTable">'[1]PropGL Base Rates'!$B$15:$AZ$20</definedName>
    <definedName name="theftcredittable">'[1]PropGL Optional Coverages'!$L$16:$M$17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0" i="13" l="1"/>
  <c r="J79" i="13"/>
  <c r="J78" i="13"/>
  <c r="J77" i="13"/>
  <c r="J76" i="13"/>
  <c r="J75" i="13"/>
  <c r="J74" i="13"/>
  <c r="J73" i="13"/>
  <c r="K72" i="13"/>
  <c r="K73" i="13" s="1"/>
  <c r="K74" i="13" s="1"/>
  <c r="K75" i="13" s="1"/>
  <c r="J72" i="13"/>
  <c r="G37" i="13"/>
  <c r="G36" i="13"/>
  <c r="G35" i="13"/>
  <c r="N30" i="13"/>
  <c r="N31" i="13" s="1"/>
  <c r="N32" i="13" s="1"/>
  <c r="N33" i="13" s="1"/>
  <c r="G28" i="13"/>
  <c r="B27" i="13"/>
  <c r="G26" i="13"/>
  <c r="E19" i="13"/>
  <c r="G19" i="13" s="1"/>
  <c r="E18" i="13"/>
  <c r="G18" i="13" s="1"/>
  <c r="E17" i="13"/>
  <c r="G17" i="13" s="1"/>
  <c r="E16" i="13"/>
  <c r="G16" i="13" s="1"/>
  <c r="E15" i="13"/>
  <c r="G15" i="13" s="1"/>
  <c r="E14" i="13"/>
  <c r="G14" i="13" s="1"/>
  <c r="N11" i="13"/>
  <c r="O11" i="13" s="1"/>
  <c r="G9" i="13"/>
  <c r="G21" i="13" l="1"/>
  <c r="G23" i="13" s="1"/>
  <c r="K76" i="13"/>
  <c r="K77" i="13" s="1"/>
  <c r="K78" i="13" s="1"/>
  <c r="K79" i="13" s="1"/>
  <c r="K80" i="13" s="1"/>
  <c r="G30" i="13"/>
  <c r="N34" i="13"/>
  <c r="N35" i="13" s="1"/>
  <c r="N36" i="13" s="1"/>
  <c r="N37" i="13" s="1"/>
  <c r="N38" i="13" s="1"/>
  <c r="N12" i="13"/>
  <c r="C44" i="13" l="1"/>
  <c r="B44" i="13"/>
  <c r="N13" i="13"/>
  <c r="O12" i="13"/>
  <c r="B61" i="13"/>
  <c r="O13" i="13" l="1"/>
  <c r="N14" i="13"/>
  <c r="N15" i="13" l="1"/>
  <c r="O14" i="13"/>
  <c r="C48" i="13"/>
  <c r="C47" i="13"/>
  <c r="B47" i="13"/>
  <c r="C46" i="13"/>
  <c r="C45" i="13"/>
  <c r="B46" i="13"/>
  <c r="B45" i="13"/>
  <c r="B48" i="13"/>
  <c r="N16" i="13" l="1"/>
  <c r="O15" i="13"/>
  <c r="N17" i="13" l="1"/>
  <c r="O16" i="13"/>
  <c r="O17" i="13" l="1"/>
  <c r="N18" i="13"/>
  <c r="B49" i="13"/>
  <c r="C51" i="13"/>
  <c r="C50" i="13"/>
  <c r="C49" i="13"/>
  <c r="B51" i="13"/>
  <c r="B50" i="13"/>
  <c r="N19" i="13" l="1"/>
  <c r="O18" i="13"/>
  <c r="O19" i="13" l="1"/>
  <c r="C53" i="13"/>
  <c r="B52" i="13"/>
  <c r="B53" i="13"/>
  <c r="C52" i="13"/>
</calcChain>
</file>

<file path=xl/sharedStrings.xml><?xml version="1.0" encoding="utf-8"?>
<sst xmlns="http://schemas.openxmlformats.org/spreadsheetml/2006/main" count="242" uniqueCount="156">
  <si>
    <t>Program</t>
  </si>
  <si>
    <t>91 to 100</t>
  </si>
  <si>
    <t>WY</t>
  </si>
  <si>
    <t>WV</t>
  </si>
  <si>
    <t>WI</t>
  </si>
  <si>
    <t>WA</t>
  </si>
  <si>
    <t>VT</t>
  </si>
  <si>
    <t>VA</t>
  </si>
  <si>
    <t>UT</t>
  </si>
  <si>
    <t>New Venture or N/A</t>
  </si>
  <si>
    <t>TX</t>
  </si>
  <si>
    <t>Below 30</t>
  </si>
  <si>
    <t>TN</t>
  </si>
  <si>
    <t>SD</t>
  </si>
  <si>
    <t>71 to 90</t>
  </si>
  <si>
    <t>SC</t>
  </si>
  <si>
    <t>31 to 70</t>
  </si>
  <si>
    <t>RI</t>
  </si>
  <si>
    <t>PR</t>
  </si>
  <si>
    <t>PA</t>
  </si>
  <si>
    <t>Wholesale</t>
  </si>
  <si>
    <t>OR</t>
  </si>
  <si>
    <t>Services</t>
  </si>
  <si>
    <t>OK</t>
  </si>
  <si>
    <t>Retail</t>
  </si>
  <si>
    <t>OH</t>
  </si>
  <si>
    <t>Offices</t>
  </si>
  <si>
    <t>NY</t>
  </si>
  <si>
    <t>High Tech</t>
  </si>
  <si>
    <t>NV</t>
  </si>
  <si>
    <t>NM</t>
  </si>
  <si>
    <t>NJ</t>
  </si>
  <si>
    <t>Table 10-Program Factors</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</si>
  <si>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</si>
  <si>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</si>
  <si>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</si>
  <si>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</si>
  <si>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</si>
  <si>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</si>
  <si>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</si>
  <si>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</si>
  <si>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</si>
  <si>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</si>
  <si>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</si>
  <si>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</si>
  <si>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</si>
  <si>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</si>
  <si>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</si>
  <si>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</si>
  <si>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</si>
  <si>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</si>
  <si>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</si>
  <si>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</si>
  <si>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</si>
  <si>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</si>
  <si>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</si>
  <si>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</si>
  <si>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</si>
  <si>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CO</t>
  </si>
  <si>
    <t>CA</t>
  </si>
  <si>
    <t>AZ</t>
  </si>
  <si>
    <t>AR</t>
  </si>
  <si>
    <t>AL</t>
  </si>
  <si>
    <t>AK</t>
  </si>
  <si>
    <t>State</t>
  </si>
  <si>
    <t xml:space="preserve">Table 1 </t>
  </si>
  <si>
    <t xml:space="preserve">company          </t>
  </si>
  <si>
    <t xml:space="preserve">lob              </t>
  </si>
  <si>
    <t xml:space="preserve">state            </t>
  </si>
  <si>
    <t xml:space="preserve"> OH</t>
  </si>
  <si>
    <t xml:space="preserve">effective_date   </t>
  </si>
  <si>
    <t xml:space="preserve"> 2025-01-01</t>
  </si>
  <si>
    <t xml:space="preserve">algorithm_name   </t>
  </si>
  <si>
    <t xml:space="preserve">product          </t>
  </si>
  <si>
    <t xml:space="preserve">entity           </t>
  </si>
  <si>
    <t xml:space="preserve">plan_name        </t>
  </si>
  <si>
    <t xml:space="preserve">manual_name      </t>
  </si>
  <si>
    <t>VVR_DEMO_COMPANY</t>
  </si>
  <si>
    <t>Commercial Lines</t>
  </si>
  <si>
    <t>VVR_ENTITY_DEMO</t>
  </si>
  <si>
    <t>VVR Rating Plan 2025</t>
  </si>
  <si>
    <t>VVR Rating Manual 2025</t>
  </si>
  <si>
    <t>Div. 67 UMBRELLA RATING PLAN</t>
  </si>
  <si>
    <t>Base Premium For $1,000,000 Limit</t>
  </si>
  <si>
    <t>Base Premium for Million</t>
  </si>
  <si>
    <t>Selected</t>
  </si>
  <si>
    <t>Additional Locations</t>
  </si>
  <si>
    <t>Div 67</t>
  </si>
  <si>
    <t>Number</t>
  </si>
  <si>
    <t>Base Premium</t>
  </si>
  <si>
    <t>Input Additional Locations Here =====&gt;</t>
  </si>
  <si>
    <t>Base Premium for Addl Location</t>
  </si>
  <si>
    <t xml:space="preserve">Table 4 - Increased Limits Factor </t>
  </si>
  <si>
    <t>Table 11- Distribution System ERC</t>
  </si>
  <si>
    <t>Input Number of Vehicles Below</t>
  </si>
  <si>
    <t>Relativities</t>
  </si>
  <si>
    <t>Number Of Vehicles</t>
  </si>
  <si>
    <t>Type of Vehicle/Distance</t>
  </si>
  <si>
    <t>Local &amp; Medium Radius</t>
  </si>
  <si>
    <t>Long Distance Radius</t>
  </si>
  <si>
    <t>Private Passenger Type</t>
  </si>
  <si>
    <t>Light Truck or Van</t>
  </si>
  <si>
    <t>Medium Truck or Van</t>
  </si>
  <si>
    <t>Heavy</t>
  </si>
  <si>
    <t>Extra Heavy</t>
  </si>
  <si>
    <t>All Other</t>
  </si>
  <si>
    <t>Total Auto Base Premium======&gt;</t>
  </si>
  <si>
    <t>C.</t>
  </si>
  <si>
    <t>Table 5 - Self-Insured Retention</t>
  </si>
  <si>
    <t>Total Base Premium</t>
  </si>
  <si>
    <t>Zero</t>
  </si>
  <si>
    <t>State of Domicile</t>
  </si>
  <si>
    <t>Use drop down menu</t>
  </si>
  <si>
    <t>Table 2</t>
  </si>
  <si>
    <t>Hazard</t>
  </si>
  <si>
    <t>Proposed</t>
  </si>
  <si>
    <t>Grades</t>
  </si>
  <si>
    <t>Hazard Grade</t>
  </si>
  <si>
    <t>AIG BOP CREDITS/DEBITS</t>
  </si>
  <si>
    <t>1. Dist. System Credit</t>
  </si>
  <si>
    <t>Direct Marketing</t>
  </si>
  <si>
    <t>2. Franchise/ Association Credit</t>
  </si>
  <si>
    <t>No</t>
  </si>
  <si>
    <t xml:space="preserve"> 3. Credit Score</t>
  </si>
  <si>
    <t>Self-Insured Retention</t>
  </si>
  <si>
    <t xml:space="preserve">Limit </t>
  </si>
  <si>
    <t>Table 7 - Credit Score</t>
  </si>
  <si>
    <t>COVERAGE PART PURCHASED?</t>
  </si>
  <si>
    <t>Yes</t>
  </si>
  <si>
    <t>Selected:</t>
  </si>
  <si>
    <t>Limit:</t>
  </si>
  <si>
    <t>Deductible:</t>
  </si>
  <si>
    <t>Table 8 - Auto Factors (Local &amp; Medium)</t>
  </si>
  <si>
    <t>Charged Premium:</t>
  </si>
  <si>
    <t>a. Light Truck or Van</t>
  </si>
  <si>
    <t>b. PP Type</t>
  </si>
  <si>
    <t>c. Medium Truck or Van</t>
  </si>
  <si>
    <t>d. Heavy</t>
  </si>
  <si>
    <t>e. Extra Heavy</t>
  </si>
  <si>
    <t>f. All Other</t>
  </si>
  <si>
    <t>Table 9 - Auto Factors (Long Distance)</t>
  </si>
  <si>
    <t>Table 11 - Minimum Premium</t>
  </si>
  <si>
    <t>Agency</t>
  </si>
  <si>
    <t>Table 12- Account Credit</t>
  </si>
  <si>
    <t>1 Cov. Part</t>
  </si>
  <si>
    <t>2 Cov. Parts</t>
  </si>
  <si>
    <t>3 or more Cov. Parts</t>
  </si>
  <si>
    <t>Table 13- Franchise/Association Credit</t>
  </si>
  <si>
    <t>Table 14- Endorsements</t>
  </si>
  <si>
    <t>1. None</t>
  </si>
  <si>
    <t>2. Enhancement Endorsement</t>
  </si>
  <si>
    <t>3. Ext. Enhancement Endorsement</t>
  </si>
  <si>
    <t>4. Both Endorsements</t>
  </si>
  <si>
    <t>Rate Per Vehicle Table</t>
  </si>
  <si>
    <t>Test Demo Agent Algorithm</t>
  </si>
  <si>
    <t>VVR_DEMO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</si>
</sst>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00"/>
    <numFmt numFmtId="166" formatCode="&quot;$&quot;#,##0_);[Red]\(&quot;$&quot;#,##0\)"/>
    <numFmt numFmtId="167" formatCode="&quot;$&quot;#,##0.00"/>
  </numFmts>
  <fonts count="25" x14ac:knownFonts="1">
    <font>
      <sz val="11"/>
      <color theme="1"/>
      <name val="Aptos Narrow"/>
      <family val="2"/>
      <scheme val="minor"/>
    </font>
    <font>
      <b/>
      <sz val="12"/>
      <name val="Arial"/>
      <family val="2"/>
    </font>
    <font>
      <b/>
      <sz val="10"/>
      <name val="Arial"/>
      <family val="2"/>
    </font>
    <font>
      <sz val="10"/>
      <name val="Arial"/>
    </font>
    <font>
      <sz val="10"/>
      <name val="Arial"/>
      <family val="2"/>
    </font>
    <font>
      <b/>
      <sz val="18"/>
      <name val="Arial"/>
      <family val="2"/>
    </font>
    <font>
      <u/>
      <sz val="10"/>
      <name val="Arial"/>
      <family val="2"/>
    </font>
    <font>
      <sz val="10"/>
      <color indexed="49"/>
      <name val="Arial"/>
      <family val="2"/>
    </font>
    <font>
      <sz val="12"/>
      <name val="Arial"/>
      <family val="2"/>
    </font>
    <font>
      <sz val="14"/>
      <name val="Arial"/>
      <family val="2"/>
    </font>
    <font>
      <b/>
      <sz val="10"/>
      <color indexed="10"/>
      <name val="Arial"/>
      <family val="2"/>
    </font>
    <font>
      <b/>
      <i/>
      <u/>
      <sz val="10"/>
      <color indexed="10"/>
      <name val="Arial"/>
      <family val="2"/>
    </font>
    <font>
      <b/>
      <i/>
      <u/>
      <sz val="10"/>
      <name val="Arial"/>
      <family val="2"/>
    </font>
    <font>
      <b/>
      <sz val="8"/>
      <name val="Arial"/>
      <family val="2"/>
    </font>
    <font>
      <b/>
      <sz val="8"/>
      <color indexed="10"/>
      <name val="Arial"/>
      <family val="2"/>
    </font>
    <font>
      <sz val="16"/>
      <name val="Arial"/>
      <family val="2"/>
    </font>
    <font>
      <b/>
      <sz val="14"/>
      <name val="Arial"/>
      <family val="2"/>
    </font>
    <font>
      <b/>
      <sz val="8"/>
      <color indexed="12"/>
      <name val="Arial"/>
      <family val="2"/>
    </font>
    <font>
      <b/>
      <i/>
      <u/>
      <sz val="8"/>
      <color indexed="10"/>
      <name val="Arial"/>
      <family val="2"/>
    </font>
    <font>
      <sz val="10"/>
      <color indexed="9"/>
      <name val="Arial"/>
      <family val="2"/>
    </font>
    <font>
      <b/>
      <u/>
      <sz val="10"/>
      <color indexed="12"/>
      <name val="Arial"/>
      <family val="2"/>
    </font>
    <font>
      <b/>
      <sz val="14"/>
      <color indexed="10"/>
      <name val="Arial"/>
      <family val="2"/>
    </font>
    <font>
      <b/>
      <i/>
      <u/>
      <sz val="12"/>
      <color indexed="10"/>
      <name val="Arial"/>
      <family val="2"/>
    </font>
    <font>
      <b/>
      <u/>
      <sz val="16"/>
      <name val="Arial"/>
      <family val="2"/>
    </font>
    <font>
      <sz val="9"/>
      <name val="Arial Narrow"/>
      <family val="2"/>
    </font>
  </fonts>
  <fills count="7">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indexed="40"/>
        <bgColor indexed="64"/>
      </patternFill>
    </fill>
    <fill>
      <patternFill patternType="solid">
        <fgColor indexed="15"/>
        <bgColor indexed="64"/>
      </patternFill>
    </fill>
    <fill>
      <patternFill patternType="solid">
        <fgColor indexed="10"/>
        <bgColor indexed="64"/>
      </patternFill>
    </fill>
  </fills>
  <borders count="24">
    <border>
      <left/>
      <right/>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diagonal/>
    </border>
  </borders>
  <cellStyleXfs count="3">
    <xf numFmtId="0" fontId="0" fillId="0" borderId="0"/>
    <xf numFmtId="0" fontId="3" fillId="0" borderId="0"/>
    <xf numFmtId="164" fontId="3" fillId="0" borderId="0" applyFont="0" applyFill="0" applyBorder="0" applyAlignment="0" applyProtection="0"/>
  </cellStyleXfs>
  <cellXfs count="137">
    <xf numFmtId="0" fontId="0" fillId="0" borderId="0" xfId="0"/>
    <xf numFmtId="2" fontId="2" fillId="0" borderId="2" xfId="1" applyNumberFormat="1" applyFont="1" applyBorder="1" applyAlignment="1">
      <alignment horizontal="center"/>
    </xf>
    <xf numFmtId="0" fontId="2" fillId="0" borderId="7" xfId="1" applyFont="1" applyBorder="1" applyAlignment="1">
      <alignment horizontal="center"/>
    </xf>
    <xf numFmtId="2" fontId="2" fillId="0" borderId="4" xfId="1" applyNumberFormat="1" applyFont="1" applyBorder="1" applyAlignment="1">
      <alignment horizontal="center"/>
    </xf>
    <xf numFmtId="0" fontId="2" fillId="0" borderId="9" xfId="1" applyFont="1" applyBorder="1" applyAlignment="1">
      <alignment horizontal="center"/>
    </xf>
    <xf numFmtId="2" fontId="2" fillId="0" borderId="11" xfId="1" applyNumberFormat="1" applyFont="1" applyBorder="1" applyAlignment="1">
      <alignment horizontal="center"/>
    </xf>
    <xf numFmtId="0" fontId="2" fillId="0" borderId="5" xfId="1" applyFont="1" applyBorder="1"/>
    <xf numFmtId="2" fontId="2" fillId="0" borderId="10" xfId="1" applyNumberFormat="1" applyFont="1" applyBorder="1" applyAlignment="1">
      <alignment horizontal="center"/>
    </xf>
    <xf numFmtId="0" fontId="2" fillId="0" borderId="4" xfId="1" applyFont="1" applyBorder="1"/>
    <xf numFmtId="0" fontId="3" fillId="4" borderId="12" xfId="1" applyFill="1" applyBorder="1" applyAlignment="1">
      <alignment horizontal="centerContinuous"/>
    </xf>
    <xf numFmtId="0" fontId="2" fillId="4" borderId="6" xfId="1" applyFont="1" applyFill="1" applyBorder="1" applyAlignment="1">
      <alignment horizontal="centerContinuous"/>
    </xf>
    <xf numFmtId="2" fontId="2" fillId="2" borderId="2" xfId="1" applyNumberFormat="1" applyFont="1" applyFill="1" applyBorder="1" applyAlignment="1">
      <alignment horizontal="center"/>
    </xf>
    <xf numFmtId="0" fontId="2" fillId="0" borderId="7" xfId="1" applyFont="1" applyBorder="1"/>
    <xf numFmtId="2" fontId="2" fillId="2" borderId="4" xfId="1" applyNumberFormat="1" applyFont="1" applyFill="1" applyBorder="1" applyAlignment="1">
      <alignment horizontal="center"/>
    </xf>
    <xf numFmtId="0" fontId="2" fillId="0" borderId="9" xfId="1" applyFont="1" applyBorder="1"/>
    <xf numFmtId="0" fontId="2" fillId="0" borderId="4" xfId="1" quotePrefix="1" applyFont="1" applyBorder="1"/>
    <xf numFmtId="2" fontId="2" fillId="0" borderId="13" xfId="1" applyNumberFormat="1" applyFont="1" applyBorder="1" applyAlignment="1">
      <alignment horizontal="center"/>
    </xf>
    <xf numFmtId="0" fontId="2" fillId="0" borderId="14" xfId="1" quotePrefix="1" applyFont="1" applyBorder="1"/>
    <xf numFmtId="0" fontId="2" fillId="0" borderId="2" xfId="1" applyFont="1" applyBorder="1" applyAlignment="1">
      <alignment horizontal="center"/>
    </xf>
    <xf numFmtId="0" fontId="2" fillId="0" borderId="3" xfId="1" applyFont="1" applyBorder="1" applyAlignment="1">
      <alignment horizontal="center"/>
    </xf>
    <xf numFmtId="0" fontId="2" fillId="0" borderId="1" xfId="1" applyFont="1" applyBorder="1" applyAlignment="1">
      <alignment horizontal="center"/>
    </xf>
    <xf numFmtId="2" fontId="2" fillId="2" borderId="3" xfId="1" applyNumberFormat="1" applyFont="1" applyFill="1" applyBorder="1" applyAlignment="1">
      <alignment horizontal="center"/>
    </xf>
    <xf numFmtId="0" fontId="2" fillId="0" borderId="15" xfId="1" applyFont="1" applyBorder="1"/>
    <xf numFmtId="0" fontId="1" fillId="3" borderId="1" xfId="1" applyFont="1" applyFill="1" applyBorder="1"/>
    <xf numFmtId="0" fontId="2" fillId="2" borderId="3" xfId="1" applyFont="1" applyFill="1" applyBorder="1" applyAlignment="1">
      <alignment horizontal="center"/>
    </xf>
    <xf numFmtId="0" fontId="2" fillId="2" borderId="2" xfId="1" applyFont="1" applyFill="1" applyBorder="1" applyAlignment="1">
      <alignment horizontal="center"/>
    </xf>
    <xf numFmtId="0" fontId="0" fillId="0" borderId="17" xfId="0" applyBorder="1"/>
    <xf numFmtId="0" fontId="5" fillId="5" borderId="18" xfId="1" applyFont="1" applyFill="1" applyBorder="1"/>
    <xf numFmtId="0" fontId="6" fillId="5" borderId="12" xfId="1" applyFont="1" applyFill="1" applyBorder="1"/>
    <xf numFmtId="0" fontId="3" fillId="0" borderId="0" xfId="1"/>
    <xf numFmtId="0" fontId="7" fillId="0" borderId="0" xfId="1" applyFont="1"/>
    <xf numFmtId="0" fontId="1" fillId="6" borderId="0" xfId="1" quotePrefix="1" applyFont="1" applyFill="1"/>
    <xf numFmtId="0" fontId="8" fillId="6" borderId="0" xfId="1" applyFont="1" applyFill="1"/>
    <xf numFmtId="2" fontId="2" fillId="0" borderId="18" xfId="1" applyNumberFormat="1" applyFont="1" applyBorder="1" applyAlignment="1">
      <alignment horizontal="center"/>
    </xf>
    <xf numFmtId="0" fontId="9" fillId="0" borderId="0" xfId="1" applyFont="1"/>
    <xf numFmtId="0" fontId="1" fillId="6" borderId="1" xfId="1" applyFont="1" applyFill="1" applyBorder="1" applyAlignment="1">
      <alignment horizontal="centerContinuous"/>
    </xf>
    <xf numFmtId="0" fontId="8" fillId="6" borderId="16" xfId="1" applyFont="1" applyFill="1" applyBorder="1" applyAlignment="1">
      <alignment horizontal="centerContinuous"/>
    </xf>
    <xf numFmtId="0" fontId="2" fillId="0" borderId="18" xfId="1" applyFont="1" applyBorder="1" applyAlignment="1">
      <alignment horizontal="center"/>
    </xf>
    <xf numFmtId="0" fontId="2" fillId="0" borderId="12" xfId="1" applyFont="1" applyBorder="1" applyAlignment="1">
      <alignment horizontal="center"/>
    </xf>
    <xf numFmtId="0" fontId="10" fillId="0" borderId="0" xfId="1" applyFont="1" applyAlignment="1">
      <alignment horizontal="center"/>
    </xf>
    <xf numFmtId="0" fontId="11" fillId="0" borderId="0" xfId="1" applyFont="1"/>
    <xf numFmtId="0" fontId="10" fillId="0" borderId="2" xfId="1" applyFont="1" applyBorder="1" applyAlignment="1" applyProtection="1">
      <alignment horizontal="center"/>
      <protection locked="0"/>
    </xf>
    <xf numFmtId="2" fontId="2" fillId="0" borderId="19" xfId="1" applyNumberFormat="1" applyFont="1" applyBorder="1" applyAlignment="1">
      <alignment horizontal="center"/>
    </xf>
    <xf numFmtId="3" fontId="3" fillId="0" borderId="3" xfId="1" applyNumberFormat="1" applyBorder="1" applyAlignment="1">
      <alignment horizontal="center"/>
    </xf>
    <xf numFmtId="165" fontId="3" fillId="0" borderId="20" xfId="1" applyNumberFormat="1" applyBorder="1" applyAlignment="1">
      <alignment horizontal="center"/>
    </xf>
    <xf numFmtId="0" fontId="1" fillId="0" borderId="1" xfId="1" applyFont="1" applyBorder="1"/>
    <xf numFmtId="3" fontId="3" fillId="0" borderId="4" xfId="1" applyNumberFormat="1" applyBorder="1" applyAlignment="1">
      <alignment horizontal="center"/>
    </xf>
    <xf numFmtId="165" fontId="3" fillId="0" borderId="10" xfId="1" applyNumberFormat="1" applyBorder="1" applyAlignment="1">
      <alignment horizontal="center"/>
    </xf>
    <xf numFmtId="0" fontId="2" fillId="0" borderId="0" xfId="1" applyFont="1" applyAlignment="1">
      <alignment horizontal="right"/>
    </xf>
    <xf numFmtId="0" fontId="1" fillId="6" borderId="16" xfId="1" applyFont="1" applyFill="1" applyBorder="1" applyAlignment="1">
      <alignment horizontal="centerContinuous"/>
    </xf>
    <xf numFmtId="0" fontId="12" fillId="0" borderId="0" xfId="1" applyFont="1" applyAlignment="1">
      <alignment horizontal="right"/>
    </xf>
    <xf numFmtId="0" fontId="13" fillId="0" borderId="2" xfId="1" applyFont="1" applyBorder="1" applyAlignment="1">
      <alignment horizontal="center"/>
    </xf>
    <xf numFmtId="0" fontId="13" fillId="0" borderId="19" xfId="1" applyFont="1" applyBorder="1" applyAlignment="1">
      <alignment horizontal="center"/>
    </xf>
    <xf numFmtId="0" fontId="13" fillId="0" borderId="18" xfId="1" applyFont="1" applyBorder="1" applyAlignment="1">
      <alignment horizontal="center"/>
    </xf>
    <xf numFmtId="0" fontId="13" fillId="0" borderId="0" xfId="1" applyFont="1" applyAlignment="1">
      <alignment horizontal="right"/>
    </xf>
    <xf numFmtId="3" fontId="14" fillId="2" borderId="3" xfId="1" applyNumberFormat="1" applyFont="1" applyFill="1" applyBorder="1" applyAlignment="1" applyProtection="1">
      <alignment horizontal="center"/>
      <protection locked="0"/>
    </xf>
    <xf numFmtId="1" fontId="14" fillId="2" borderId="3" xfId="1" applyNumberFormat="1" applyFont="1" applyFill="1" applyBorder="1" applyAlignment="1" applyProtection="1">
      <alignment horizontal="center"/>
      <protection locked="0"/>
    </xf>
    <xf numFmtId="4" fontId="13" fillId="2" borderId="3" xfId="1" applyNumberFormat="1" applyFont="1" applyFill="1" applyBorder="1" applyAlignment="1">
      <alignment horizontal="center"/>
    </xf>
    <xf numFmtId="2" fontId="13" fillId="2" borderId="3" xfId="1" applyNumberFormat="1" applyFont="1" applyFill="1" applyBorder="1" applyAlignment="1">
      <alignment horizontal="center"/>
    </xf>
    <xf numFmtId="3" fontId="3" fillId="0" borderId="21" xfId="1" applyNumberFormat="1" applyBorder="1" applyAlignment="1">
      <alignment horizontal="center"/>
    </xf>
    <xf numFmtId="165" fontId="3" fillId="0" borderId="22" xfId="1" applyNumberFormat="1" applyBorder="1" applyAlignment="1">
      <alignment horizontal="center"/>
    </xf>
    <xf numFmtId="3" fontId="14" fillId="2" borderId="4" xfId="1" applyNumberFormat="1" applyFont="1" applyFill="1" applyBorder="1" applyAlignment="1" applyProtection="1">
      <alignment horizontal="center"/>
      <protection locked="0"/>
    </xf>
    <xf numFmtId="1" fontId="14" fillId="2" borderId="4" xfId="1" applyNumberFormat="1" applyFont="1" applyFill="1" applyBorder="1" applyAlignment="1" applyProtection="1">
      <alignment horizontal="center"/>
      <protection locked="0"/>
    </xf>
    <xf numFmtId="4" fontId="13" fillId="2" borderId="4" xfId="1" applyNumberFormat="1" applyFont="1" applyFill="1" applyBorder="1" applyAlignment="1">
      <alignment horizontal="center"/>
    </xf>
    <xf numFmtId="2" fontId="13" fillId="2" borderId="4" xfId="1" applyNumberFormat="1" applyFont="1" applyFill="1" applyBorder="1" applyAlignment="1">
      <alignment horizontal="center"/>
    </xf>
    <xf numFmtId="3" fontId="14" fillId="2" borderId="5" xfId="1" applyNumberFormat="1" applyFont="1" applyFill="1" applyBorder="1" applyAlignment="1" applyProtection="1">
      <alignment horizontal="center"/>
      <protection locked="0"/>
    </xf>
    <xf numFmtId="1" fontId="14" fillId="2" borderId="2" xfId="1" applyNumberFormat="1" applyFont="1" applyFill="1" applyBorder="1" applyAlignment="1" applyProtection="1">
      <alignment horizontal="center"/>
      <protection locked="0"/>
    </xf>
    <xf numFmtId="4" fontId="13" fillId="2" borderId="5" xfId="1" applyNumberFormat="1" applyFont="1" applyFill="1" applyBorder="1" applyAlignment="1">
      <alignment horizontal="center"/>
    </xf>
    <xf numFmtId="2" fontId="13" fillId="2" borderId="2" xfId="1" applyNumberFormat="1" applyFont="1" applyFill="1" applyBorder="1" applyAlignment="1">
      <alignment horizontal="center"/>
    </xf>
    <xf numFmtId="2" fontId="13" fillId="2" borderId="18" xfId="1" applyNumberFormat="1" applyFont="1" applyFill="1" applyBorder="1" applyAlignment="1">
      <alignment horizontal="center"/>
    </xf>
    <xf numFmtId="3" fontId="3" fillId="0" borderId="2" xfId="1" applyNumberFormat="1" applyBorder="1" applyAlignment="1">
      <alignment horizontal="center"/>
    </xf>
    <xf numFmtId="165" fontId="3" fillId="0" borderId="19" xfId="1" applyNumberFormat="1" applyBorder="1" applyAlignment="1">
      <alignment horizontal="center"/>
    </xf>
    <xf numFmtId="0" fontId="9" fillId="0" borderId="0" xfId="1" applyFont="1" applyAlignment="1">
      <alignment horizontal="right"/>
    </xf>
    <xf numFmtId="0" fontId="1" fillId="0" borderId="0" xfId="1" applyFont="1"/>
    <xf numFmtId="4" fontId="2" fillId="0" borderId="18" xfId="1" applyNumberFormat="1" applyFont="1" applyBorder="1" applyAlignment="1">
      <alignment horizontal="center"/>
    </xf>
    <xf numFmtId="0" fontId="15" fillId="0" borderId="0" xfId="1" applyFont="1"/>
    <xf numFmtId="0" fontId="4" fillId="0" borderId="0" xfId="1" applyFont="1"/>
    <xf numFmtId="4" fontId="16" fillId="0" borderId="18" xfId="1" applyNumberFormat="1" applyFont="1" applyBorder="1" applyAlignment="1">
      <alignment horizontal="center"/>
    </xf>
    <xf numFmtId="3" fontId="3" fillId="0" borderId="23" xfId="1" applyNumberFormat="1" applyBorder="1" applyAlignment="1">
      <alignment horizontal="center"/>
    </xf>
    <xf numFmtId="3" fontId="3" fillId="0" borderId="5" xfId="1" applyNumberFormat="1" applyBorder="1" applyAlignment="1">
      <alignment horizontal="center"/>
    </xf>
    <xf numFmtId="165" fontId="3" fillId="0" borderId="11" xfId="1" applyNumberFormat="1" applyBorder="1" applyAlignment="1">
      <alignment horizontal="center"/>
    </xf>
    <xf numFmtId="0" fontId="17" fillId="0" borderId="0" xfId="1" applyFont="1" applyAlignment="1">
      <alignment horizontal="right"/>
    </xf>
    <xf numFmtId="0" fontId="2" fillId="2" borderId="18" xfId="1" applyFont="1" applyFill="1" applyBorder="1" applyAlignment="1">
      <alignment horizontal="center"/>
    </xf>
    <xf numFmtId="0" fontId="18" fillId="0" borderId="0" xfId="1" applyFont="1" applyAlignment="1">
      <alignment horizontal="left"/>
    </xf>
    <xf numFmtId="165" fontId="2" fillId="0" borderId="0" xfId="1" applyNumberFormat="1" applyFont="1" applyAlignment="1">
      <alignment horizontal="center"/>
    </xf>
    <xf numFmtId="0" fontId="17" fillId="0" borderId="0" xfId="1" applyFont="1"/>
    <xf numFmtId="0" fontId="19" fillId="0" borderId="0" xfId="1" applyFont="1"/>
    <xf numFmtId="165" fontId="3" fillId="0" borderId="0" xfId="1" applyNumberFormat="1"/>
    <xf numFmtId="1" fontId="2" fillId="2" borderId="18" xfId="2" applyNumberFormat="1" applyFont="1" applyFill="1" applyBorder="1" applyAlignment="1">
      <alignment horizontal="center"/>
    </xf>
    <xf numFmtId="0" fontId="2" fillId="0" borderId="15" xfId="1" applyFont="1" applyBorder="1" applyAlignment="1">
      <alignment horizontal="center"/>
    </xf>
    <xf numFmtId="165" fontId="2" fillId="0" borderId="4" xfId="1" applyNumberFormat="1" applyFont="1" applyBorder="1" applyAlignment="1">
      <alignment horizontal="center"/>
    </xf>
    <xf numFmtId="0" fontId="2" fillId="0" borderId="0" xfId="1" applyFont="1" applyAlignment="1">
      <alignment horizontal="center"/>
    </xf>
    <xf numFmtId="0" fontId="20" fillId="0" borderId="0" xfId="1" applyFont="1" applyAlignment="1">
      <alignment horizontal="right"/>
    </xf>
    <xf numFmtId="0" fontId="17" fillId="0" borderId="0" xfId="1" quotePrefix="1" applyFont="1" applyAlignment="1">
      <alignment horizontal="right"/>
    </xf>
    <xf numFmtId="2" fontId="2" fillId="2" borderId="17" xfId="1" applyNumberFormat="1" applyFont="1" applyFill="1" applyBorder="1" applyAlignment="1" applyProtection="1">
      <alignment horizontal="center"/>
      <protection locked="0"/>
    </xf>
    <xf numFmtId="4" fontId="2" fillId="0" borderId="0" xfId="1" applyNumberFormat="1" applyFont="1" applyAlignment="1">
      <alignment horizontal="center"/>
    </xf>
    <xf numFmtId="2" fontId="2" fillId="0" borderId="0" xfId="1" applyNumberFormat="1" applyFont="1" applyAlignment="1">
      <alignment horizontal="center"/>
    </xf>
    <xf numFmtId="2" fontId="3" fillId="0" borderId="0" xfId="1" applyNumberFormat="1"/>
    <xf numFmtId="165" fontId="2" fillId="0" borderId="5" xfId="1" applyNumberFormat="1" applyFont="1" applyBorder="1" applyAlignment="1">
      <alignment horizontal="center"/>
    </xf>
    <xf numFmtId="0" fontId="16" fillId="2" borderId="6" xfId="1" applyFont="1" applyFill="1" applyBorder="1" applyAlignment="1">
      <alignment horizontal="centerContinuous" vertical="center"/>
    </xf>
    <xf numFmtId="0" fontId="3" fillId="2" borderId="12" xfId="1" applyFill="1" applyBorder="1" applyAlignment="1">
      <alignment horizontal="centerContinuous" vertical="center"/>
    </xf>
    <xf numFmtId="0" fontId="16" fillId="2" borderId="6" xfId="1" applyFont="1" applyFill="1" applyBorder="1" applyAlignment="1">
      <alignment horizontal="center"/>
    </xf>
    <xf numFmtId="0" fontId="1" fillId="2" borderId="18" xfId="1" applyFont="1" applyFill="1" applyBorder="1" applyAlignment="1">
      <alignment horizontal="center"/>
    </xf>
    <xf numFmtId="166" fontId="1" fillId="2" borderId="12" xfId="1" applyNumberFormat="1" applyFont="1" applyFill="1" applyBorder="1" applyAlignment="1">
      <alignment horizontal="center"/>
    </xf>
    <xf numFmtId="166" fontId="16" fillId="0" borderId="15" xfId="1" applyNumberFormat="1" applyFont="1" applyBorder="1" applyAlignment="1">
      <alignment horizontal="center"/>
    </xf>
    <xf numFmtId="167" fontId="16" fillId="0" borderId="23" xfId="1" applyNumberFormat="1" applyFont="1" applyBorder="1" applyAlignment="1">
      <alignment horizontal="center"/>
    </xf>
    <xf numFmtId="166" fontId="16" fillId="0" borderId="4" xfId="1" applyNumberFormat="1" applyFont="1" applyBorder="1" applyAlignment="1">
      <alignment horizontal="center"/>
    </xf>
    <xf numFmtId="167" fontId="16" fillId="0" borderId="4" xfId="1" applyNumberFormat="1" applyFont="1" applyBorder="1" applyAlignment="1">
      <alignment horizontal="center"/>
    </xf>
    <xf numFmtId="0" fontId="3" fillId="0" borderId="0" xfId="1" applyAlignment="1">
      <alignment horizontal="centerContinuous"/>
    </xf>
    <xf numFmtId="0" fontId="2" fillId="0" borderId="0" xfId="1" quotePrefix="1" applyFont="1" applyAlignment="1">
      <alignment horizontal="center"/>
    </xf>
    <xf numFmtId="166" fontId="16" fillId="0" borderId="7" xfId="1" applyNumberFormat="1" applyFont="1" applyBorder="1" applyAlignment="1">
      <alignment horizontal="center"/>
    </xf>
    <xf numFmtId="167" fontId="16" fillId="0" borderId="5" xfId="1" applyNumberFormat="1" applyFont="1" applyBorder="1" applyAlignment="1">
      <alignment horizontal="center"/>
    </xf>
    <xf numFmtId="167" fontId="16" fillId="0" borderId="0" xfId="1" applyNumberFormat="1" applyFont="1" applyAlignment="1">
      <alignment horizontal="center"/>
    </xf>
    <xf numFmtId="0" fontId="21" fillId="0" borderId="18" xfId="1" applyFont="1" applyBorder="1" applyAlignment="1">
      <alignment horizontal="right"/>
    </xf>
    <xf numFmtId="0" fontId="21" fillId="0" borderId="18" xfId="1" applyFont="1" applyBorder="1" applyAlignment="1">
      <alignment horizontal="center"/>
    </xf>
    <xf numFmtId="0" fontId="22" fillId="0" borderId="0" xfId="1" applyFont="1" applyAlignment="1">
      <alignment horizontal="left"/>
    </xf>
    <xf numFmtId="0" fontId="23" fillId="0" borderId="0" xfId="1" applyFont="1" applyAlignment="1">
      <alignment horizontal="right"/>
    </xf>
    <xf numFmtId="0" fontId="16" fillId="0" borderId="0" xfId="1" applyFont="1" applyAlignment="1">
      <alignment horizontal="right"/>
    </xf>
    <xf numFmtId="3" fontId="16" fillId="0" borderId="0" xfId="1" applyNumberFormat="1" applyFont="1" applyAlignment="1">
      <alignment horizontal="center"/>
    </xf>
    <xf numFmtId="3" fontId="3" fillId="0" borderId="0" xfId="1" applyNumberFormat="1" applyAlignment="1">
      <alignment horizontal="center"/>
    </xf>
    <xf numFmtId="0" fontId="3" fillId="0" borderId="0" xfId="1" applyAlignment="1">
      <alignment horizontal="center"/>
    </xf>
    <xf numFmtId="3" fontId="2" fillId="0" borderId="0" xfId="1" applyNumberFormat="1" applyFont="1" applyAlignment="1">
      <alignment horizontal="center"/>
    </xf>
    <xf numFmtId="0" fontId="5" fillId="0" borderId="6" xfId="1" applyFont="1" applyBorder="1" applyAlignment="1">
      <alignment horizontal="right"/>
    </xf>
    <xf numFmtId="167" fontId="5" fillId="0" borderId="12" xfId="1" applyNumberFormat="1" applyFont="1" applyBorder="1" applyAlignment="1">
      <alignment horizontal="center"/>
    </xf>
    <xf numFmtId="3" fontId="2" fillId="0" borderId="0" xfId="1" applyNumberFormat="1" applyFont="1"/>
    <xf numFmtId="4" fontId="3" fillId="0" borderId="0" xfId="1" applyNumberFormat="1"/>
    <xf numFmtId="4" fontId="3" fillId="0" borderId="20" xfId="1" applyNumberFormat="1" applyBorder="1" applyAlignment="1">
      <alignment horizontal="center"/>
    </xf>
    <xf numFmtId="4" fontId="3" fillId="0" borderId="10" xfId="1" applyNumberFormat="1" applyBorder="1" applyAlignment="1">
      <alignment horizontal="center"/>
    </xf>
    <xf numFmtId="4" fontId="3" fillId="0" borderId="22" xfId="1" applyNumberFormat="1" applyBorder="1" applyAlignment="1">
      <alignment horizontal="center"/>
    </xf>
    <xf numFmtId="4" fontId="3" fillId="0" borderId="19" xfId="1" applyNumberFormat="1" applyBorder="1" applyAlignment="1">
      <alignment horizontal="center"/>
    </xf>
    <xf numFmtId="0" fontId="2" fillId="0" borderId="6" xfId="1" applyFont="1" applyBorder="1" applyAlignment="1">
      <alignment horizontal="center"/>
    </xf>
    <xf numFmtId="2" fontId="3" fillId="0" borderId="0" xfId="1" applyNumberFormat="1" applyAlignment="1">
      <alignment horizontal="center"/>
    </xf>
    <xf numFmtId="0" fontId="24" fillId="0" borderId="0" xfId="1" applyFont="1"/>
    <xf numFmtId="0" fontId="1" fillId="3" borderId="8" xfId="1" applyFont="1" applyFill="1" applyBorder="1" applyAlignment="1">
      <alignment horizontal="center"/>
    </xf>
    <xf numFmtId="0" fontId="1" fillId="3" borderId="6" xfId="1" applyFont="1" applyFill="1" applyBorder="1" applyAlignment="1">
      <alignment horizontal="center"/>
    </xf>
    <xf numFmtId="0" fontId="8" fillId="3" borderId="12" xfId="1" applyFont="1" applyFill="1" applyBorder="1" applyAlignment="1">
      <alignment horizontal="center"/>
    </xf>
    <xf numFmtId="0" fontId="3" fillId="0" borderId="12" xfId="1" applyBorder="1" applyAlignment="1">
      <alignment horizontal="center"/>
    </xf>
  </cellXfs>
  <cellStyles count="3">
    <cellStyle name="Comma 2" xfId="2" xr:uid="{18A017E4-D09A-4E2E-9EC1-BDAB3E2AC0C0}"/>
    <cellStyle name="Normal" xfId="0" builtinId="0"/>
    <cellStyle name="Normal 2" xfId="1" xr:uid="{EC015975-BC51-4244-B4BD-5383685C47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nup/OneDrive/Desktop/00-Raitrix/Rating%20Solution/Copy%20of%20Rating%20Summary-%2012-4-00.xls" TargetMode="External"/><Relationship Id="rId2" Type="http://schemas.openxmlformats.org/officeDocument/2006/relationships/externalLinkPath" Target="file:///C:\Users\penup\OneDrive\Desktop\00-Raitrix\Rating%20Solution\Copy%20of%20Rating%20Summary-%2012-4-00.xls" TargetMode="External"/><Relationship Id="rId1" Type="http://schemas.openxmlformats.org/officeDocument/2006/relationships/externalLinkPath" Target="/Users/penup/OneDrive/Desktop/00-Raitrix/Rating%20Solution/Copy%20of%20Rating%20Summary-%2012-4-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EPLI 1"/>
      <sheetName val="EPLI 2"/>
      <sheetName val="EPLI 3"/>
      <sheetName val="Professional 1"/>
      <sheetName val="Professional 2"/>
      <sheetName val="Professional 3"/>
      <sheetName val="Umbrella"/>
      <sheetName val="PropGL Rating 1"/>
      <sheetName val="PropGL Rating 2"/>
      <sheetName val="PropGL Rating 3"/>
      <sheetName val="Sheet1"/>
      <sheetName val="PropGL Base Rates"/>
      <sheetName val="PropGL Relativities"/>
      <sheetName val="PropGL Optional Covera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7">
          <cell r="B7">
            <v>8.8239999999999998</v>
          </cell>
        </row>
        <row r="8">
          <cell r="B8">
            <v>2.9409999999999998</v>
          </cell>
          <cell r="FO8" t="str">
            <v>AK</v>
          </cell>
          <cell r="FP8">
            <v>2</v>
          </cell>
        </row>
        <row r="9">
          <cell r="FO9" t="str">
            <v>AL</v>
          </cell>
          <cell r="FP9">
            <v>3</v>
          </cell>
        </row>
        <row r="10">
          <cell r="FO10" t="str">
            <v>AR</v>
          </cell>
          <cell r="FP10">
            <v>4</v>
          </cell>
        </row>
        <row r="11">
          <cell r="FO11" t="str">
            <v>AZ</v>
          </cell>
          <cell r="FP11">
            <v>5</v>
          </cell>
        </row>
        <row r="12">
          <cell r="FO12" t="str">
            <v>CA</v>
          </cell>
          <cell r="FP12">
            <v>6</v>
          </cell>
        </row>
        <row r="13">
          <cell r="FO13" t="str">
            <v>CO</v>
          </cell>
          <cell r="FP13">
            <v>7</v>
          </cell>
        </row>
        <row r="14">
          <cell r="FO14" t="str">
            <v>CT</v>
          </cell>
          <cell r="FP14">
            <v>8</v>
          </cell>
        </row>
        <row r="15">
          <cell r="B15" t="str">
            <v>AK</v>
          </cell>
          <cell r="C15" t="str">
            <v>AL</v>
          </cell>
          <cell r="D15" t="str">
            <v>AR</v>
          </cell>
          <cell r="E15" t="str">
            <v>AZ</v>
          </cell>
          <cell r="F15" t="str">
            <v>CA</v>
          </cell>
          <cell r="G15" t="str">
            <v>CO</v>
          </cell>
          <cell r="H15" t="str">
            <v>CT</v>
          </cell>
          <cell r="I15" t="str">
            <v>DC</v>
          </cell>
          <cell r="J15" t="str">
            <v>DE</v>
          </cell>
          <cell r="K15" t="str">
            <v>FL</v>
          </cell>
          <cell r="L15" t="str">
            <v>GA</v>
          </cell>
          <cell r="M15" t="str">
            <v>HI</v>
          </cell>
          <cell r="N15" t="str">
            <v>IA</v>
          </cell>
          <cell r="O15" t="str">
            <v>ID</v>
          </cell>
          <cell r="P15" t="str">
            <v>IL</v>
          </cell>
          <cell r="Q15" t="str">
            <v>IN</v>
          </cell>
          <cell r="R15" t="str">
            <v>KS</v>
          </cell>
          <cell r="S15" t="str">
            <v>KY</v>
          </cell>
          <cell r="T15" t="str">
            <v>LA</v>
          </cell>
          <cell r="U15" t="str">
            <v>MA</v>
          </cell>
          <cell r="V15" t="str">
            <v>MD</v>
          </cell>
          <cell r="W15" t="str">
            <v>ME</v>
          </cell>
          <cell r="X15" t="str">
            <v>MI</v>
          </cell>
          <cell r="Y15" t="str">
            <v>MN</v>
          </cell>
          <cell r="Z15" t="str">
            <v>MO</v>
          </cell>
          <cell r="AA15" t="str">
            <v>MS</v>
          </cell>
          <cell r="AB15" t="str">
            <v>MT</v>
          </cell>
          <cell r="AC15" t="str">
            <v>NC</v>
          </cell>
          <cell r="AD15" t="str">
            <v>ND</v>
          </cell>
          <cell r="AE15" t="str">
            <v>NE</v>
          </cell>
          <cell r="AF15" t="str">
            <v>NH</v>
          </cell>
          <cell r="AG15" t="str">
            <v>NJ</v>
          </cell>
          <cell r="AH15" t="str">
            <v>NM</v>
          </cell>
          <cell r="AI15" t="str">
            <v>NV</v>
          </cell>
          <cell r="AJ15" t="str">
            <v>NY</v>
          </cell>
          <cell r="AK15" t="str">
            <v>OH</v>
          </cell>
          <cell r="AL15" t="str">
            <v>OK</v>
          </cell>
          <cell r="AM15" t="str">
            <v>OR</v>
          </cell>
          <cell r="AN15" t="str">
            <v>PA</v>
          </cell>
          <cell r="AO15" t="str">
            <v>RI</v>
          </cell>
          <cell r="AP15" t="str">
            <v>SC</v>
          </cell>
          <cell r="AQ15" t="str">
            <v>SD</v>
          </cell>
          <cell r="AR15" t="str">
            <v>TN</v>
          </cell>
          <cell r="AS15" t="str">
            <v>TX</v>
          </cell>
          <cell r="AT15" t="str">
            <v>UT</v>
          </cell>
          <cell r="AU15" t="str">
            <v>VA</v>
          </cell>
          <cell r="AV15" t="str">
            <v>VT</v>
          </cell>
          <cell r="AW15" t="str">
            <v>WA</v>
          </cell>
          <cell r="AX15" t="str">
            <v>WI</v>
          </cell>
          <cell r="AY15" t="str">
            <v>WV</v>
          </cell>
          <cell r="AZ15" t="str">
            <v>WY</v>
          </cell>
          <cell r="FO15" t="str">
            <v>DC</v>
          </cell>
          <cell r="FP15">
            <v>9</v>
          </cell>
        </row>
        <row r="16">
          <cell r="B16">
            <v>1.385</v>
          </cell>
          <cell r="C16">
            <v>1.3680000000000001</v>
          </cell>
          <cell r="D16">
            <v>1.754</v>
          </cell>
          <cell r="E16">
            <v>1.4650000000000001</v>
          </cell>
          <cell r="F16">
            <v>1.1160000000000001</v>
          </cell>
          <cell r="G16">
            <v>0.86799999999999999</v>
          </cell>
          <cell r="H16">
            <v>1.01</v>
          </cell>
          <cell r="I16">
            <v>1.5</v>
          </cell>
          <cell r="J16">
            <v>1.08</v>
          </cell>
          <cell r="K16">
            <v>1.718</v>
          </cell>
          <cell r="L16">
            <v>1.2529999999999999</v>
          </cell>
          <cell r="M16" t="e">
            <v>#VALUE!</v>
          </cell>
          <cell r="N16">
            <v>1.3320000000000001</v>
          </cell>
          <cell r="O16">
            <v>0.79</v>
          </cell>
          <cell r="P16">
            <v>0.98099999999999998</v>
          </cell>
          <cell r="Q16">
            <v>1.075</v>
          </cell>
          <cell r="R16">
            <v>1.4430000000000001</v>
          </cell>
          <cell r="S16">
            <v>1.724</v>
          </cell>
          <cell r="T16" t="e">
            <v>#VALUE!</v>
          </cell>
          <cell r="U16">
            <v>1.7649999999999999</v>
          </cell>
          <cell r="V16">
            <v>0.95499999999999996</v>
          </cell>
          <cell r="W16">
            <v>0.9</v>
          </cell>
          <cell r="X16">
            <v>0.93799999999999994</v>
          </cell>
          <cell r="Y16">
            <v>1.0229999999999999</v>
          </cell>
          <cell r="Z16">
            <v>1.3380000000000001</v>
          </cell>
          <cell r="AA16">
            <v>1.359</v>
          </cell>
          <cell r="AB16">
            <v>0.76900000000000002</v>
          </cell>
          <cell r="AC16">
            <v>1.345</v>
          </cell>
          <cell r="AD16">
            <v>1.1739999999999999</v>
          </cell>
          <cell r="AE16">
            <v>1.306</v>
          </cell>
          <cell r="AF16">
            <v>0.79300000000000004</v>
          </cell>
          <cell r="AG16">
            <v>1.1850000000000001</v>
          </cell>
          <cell r="AH16">
            <v>1.125</v>
          </cell>
          <cell r="AI16">
            <v>1.169</v>
          </cell>
          <cell r="AJ16">
            <v>1.2729999999999999</v>
          </cell>
          <cell r="AK16">
            <v>1.113</v>
          </cell>
          <cell r="AL16">
            <v>1.7410000000000001</v>
          </cell>
          <cell r="AM16">
            <v>0.61599999999999999</v>
          </cell>
          <cell r="AN16">
            <v>1.1399999999999999</v>
          </cell>
          <cell r="AO16">
            <v>1.3080000000000001</v>
          </cell>
          <cell r="AP16">
            <v>1.8640000000000001</v>
          </cell>
          <cell r="AQ16">
            <v>1.5169999999999999</v>
          </cell>
          <cell r="AR16">
            <v>1.25</v>
          </cell>
          <cell r="AS16">
            <v>1.145</v>
          </cell>
          <cell r="AT16">
            <v>0.90500000000000003</v>
          </cell>
          <cell r="AU16">
            <v>0.80700000000000005</v>
          </cell>
          <cell r="AV16">
            <v>1.1000000000000001</v>
          </cell>
          <cell r="AW16">
            <v>1.0009999999999999</v>
          </cell>
          <cell r="AX16">
            <v>0.627</v>
          </cell>
          <cell r="AY16">
            <v>1.1499999999999999</v>
          </cell>
          <cell r="AZ16">
            <v>0.99099999999999999</v>
          </cell>
          <cell r="FO16" t="str">
            <v>DE</v>
          </cell>
          <cell r="FP16">
            <v>10</v>
          </cell>
        </row>
        <row r="17">
          <cell r="B17">
            <v>1.0509999999999999</v>
          </cell>
          <cell r="C17">
            <v>1.1719999999999999</v>
          </cell>
          <cell r="D17">
            <v>1.0329999999999999</v>
          </cell>
          <cell r="E17">
            <v>1.4830000000000001</v>
          </cell>
          <cell r="F17">
            <v>1.5860000000000001</v>
          </cell>
          <cell r="G17">
            <v>0.83899999999999997</v>
          </cell>
          <cell r="H17">
            <v>2.2999999999999998</v>
          </cell>
          <cell r="I17">
            <v>1.75</v>
          </cell>
          <cell r="J17">
            <v>1.0329999999999999</v>
          </cell>
          <cell r="K17">
            <v>1.6479999999999999</v>
          </cell>
          <cell r="L17">
            <v>0.90300000000000002</v>
          </cell>
          <cell r="M17" t="e">
            <v>#VALUE!</v>
          </cell>
          <cell r="N17">
            <v>1.393</v>
          </cell>
          <cell r="O17">
            <v>0.93</v>
          </cell>
          <cell r="P17">
            <v>1.1020000000000001</v>
          </cell>
          <cell r="Q17">
            <v>1.175</v>
          </cell>
          <cell r="R17">
            <v>0.84599999999999997</v>
          </cell>
          <cell r="S17">
            <v>1.4610000000000001</v>
          </cell>
          <cell r="T17" t="e">
            <v>#VALUE!</v>
          </cell>
          <cell r="U17">
            <v>2.4710000000000001</v>
          </cell>
          <cell r="V17">
            <v>0.98099999999999998</v>
          </cell>
          <cell r="W17">
            <v>1.35</v>
          </cell>
          <cell r="X17">
            <v>1.7</v>
          </cell>
          <cell r="Y17">
            <v>1.389</v>
          </cell>
          <cell r="Z17">
            <v>1.181</v>
          </cell>
          <cell r="AA17">
            <v>0.92400000000000004</v>
          </cell>
          <cell r="AB17">
            <v>1.4670000000000001</v>
          </cell>
          <cell r="AC17">
            <v>1.131</v>
          </cell>
          <cell r="AD17">
            <v>0.81399999999999995</v>
          </cell>
          <cell r="AE17">
            <v>0.64300000000000002</v>
          </cell>
          <cell r="AF17">
            <v>1.698</v>
          </cell>
          <cell r="AG17">
            <v>3.0579999999999998</v>
          </cell>
          <cell r="AH17">
            <v>1.2749999999999999</v>
          </cell>
          <cell r="AI17">
            <v>1.468</v>
          </cell>
          <cell r="AJ17">
            <v>2.456</v>
          </cell>
          <cell r="AK17">
            <v>0.85</v>
          </cell>
          <cell r="AL17">
            <v>0.88700000000000001</v>
          </cell>
          <cell r="AM17">
            <v>0.98499999999999999</v>
          </cell>
          <cell r="AN17">
            <v>1.458</v>
          </cell>
          <cell r="AO17">
            <v>1.599</v>
          </cell>
          <cell r="AP17">
            <v>1.4079999999999999</v>
          </cell>
          <cell r="AQ17">
            <v>1.236</v>
          </cell>
          <cell r="AR17">
            <v>3.25</v>
          </cell>
          <cell r="AS17">
            <v>4.2359999999999998</v>
          </cell>
          <cell r="AT17">
            <v>1.099</v>
          </cell>
          <cell r="AU17">
            <v>0.79700000000000004</v>
          </cell>
          <cell r="AV17">
            <v>1.35</v>
          </cell>
          <cell r="AW17">
            <v>0.90500000000000003</v>
          </cell>
          <cell r="AX17">
            <v>0.96299999999999997</v>
          </cell>
          <cell r="AY17">
            <v>1.325</v>
          </cell>
          <cell r="AZ17">
            <v>1.0329999999999999</v>
          </cell>
          <cell r="FO17" t="str">
            <v>FL</v>
          </cell>
          <cell r="FP17">
            <v>11</v>
          </cell>
        </row>
        <row r="18">
          <cell r="FO18" t="str">
            <v>GA</v>
          </cell>
          <cell r="FP18">
            <v>12</v>
          </cell>
        </row>
        <row r="19">
          <cell r="FO19" t="str">
            <v>HI</v>
          </cell>
          <cell r="FP19">
            <v>13</v>
          </cell>
        </row>
        <row r="20">
          <cell r="D20" t="str">
            <v/>
          </cell>
          <cell r="E20" t="str">
            <v/>
          </cell>
          <cell r="F20" t="str">
            <v/>
          </cell>
          <cell r="G20" t="str">
            <v/>
          </cell>
          <cell r="H20" t="str">
            <v/>
          </cell>
          <cell r="I20" t="str">
            <v/>
          </cell>
          <cell r="J20" t="str">
            <v/>
          </cell>
          <cell r="K20" t="str">
            <v/>
          </cell>
          <cell r="L20" t="str">
            <v/>
          </cell>
          <cell r="M20" t="str">
            <v/>
          </cell>
          <cell r="N20" t="str">
            <v/>
          </cell>
          <cell r="O20" t="str">
            <v/>
          </cell>
          <cell r="P20" t="str">
            <v/>
          </cell>
          <cell r="Q20" t="str">
            <v/>
          </cell>
          <cell r="R20" t="str">
            <v/>
          </cell>
          <cell r="S20" t="str">
            <v/>
          </cell>
          <cell r="T20" t="str">
            <v/>
          </cell>
          <cell r="U20" t="str">
            <v/>
          </cell>
          <cell r="W20" t="str">
            <v/>
          </cell>
          <cell r="X20" t="str">
            <v/>
          </cell>
          <cell r="Y20" t="str">
            <v/>
          </cell>
          <cell r="Z20" t="str">
            <v/>
          </cell>
          <cell r="AA20" t="str">
            <v/>
          </cell>
          <cell r="AB20" t="str">
            <v/>
          </cell>
          <cell r="AC20" t="str">
            <v/>
          </cell>
          <cell r="AD20" t="str">
            <v/>
          </cell>
          <cell r="AE20" t="str">
            <v/>
          </cell>
          <cell r="AF20" t="str">
            <v/>
          </cell>
          <cell r="AG20" t="str">
            <v/>
          </cell>
          <cell r="AH20" t="str">
            <v/>
          </cell>
          <cell r="AI20" t="str">
            <v/>
          </cell>
          <cell r="AJ20" t="str">
            <v/>
          </cell>
          <cell r="AK20" t="str">
            <v/>
          </cell>
          <cell r="AL20" t="str">
            <v/>
          </cell>
          <cell r="AM20" t="str">
            <v/>
          </cell>
          <cell r="AN20" t="str">
            <v/>
          </cell>
          <cell r="AO20" t="str">
            <v/>
          </cell>
          <cell r="AP20" t="str">
            <v/>
          </cell>
          <cell r="AQ20" t="str">
            <v/>
          </cell>
          <cell r="AR20" t="str">
            <v/>
          </cell>
          <cell r="AS20" t="str">
            <v/>
          </cell>
          <cell r="AT20" t="str">
            <v/>
          </cell>
          <cell r="AU20" t="str">
            <v/>
          </cell>
          <cell r="AV20" t="str">
            <v/>
          </cell>
          <cell r="AW20" t="str">
            <v/>
          </cell>
          <cell r="AX20" t="str">
            <v/>
          </cell>
          <cell r="AY20" t="str">
            <v/>
          </cell>
          <cell r="AZ20" t="str">
            <v/>
          </cell>
          <cell r="FO20" t="str">
            <v>IA</v>
          </cell>
          <cell r="FP20">
            <v>14</v>
          </cell>
        </row>
        <row r="21">
          <cell r="FO21" t="str">
            <v>ID</v>
          </cell>
          <cell r="FP21">
            <v>15</v>
          </cell>
        </row>
        <row r="22">
          <cell r="FO22" t="str">
            <v>IL</v>
          </cell>
          <cell r="FP22">
            <v>16</v>
          </cell>
        </row>
        <row r="23">
          <cell r="FO23" t="str">
            <v>IN</v>
          </cell>
          <cell r="FP23">
            <v>17</v>
          </cell>
        </row>
        <row r="24">
          <cell r="B24">
            <v>1</v>
          </cell>
          <cell r="C24" t="str">
            <v/>
          </cell>
          <cell r="D24">
            <v>0.93300000000000005</v>
          </cell>
          <cell r="E24">
            <v>1</v>
          </cell>
          <cell r="F24" t="str">
            <v/>
          </cell>
          <cell r="G24" t="str">
            <v/>
          </cell>
          <cell r="H24" t="str">
            <v/>
          </cell>
          <cell r="I24">
            <v>1.1639999999999999</v>
          </cell>
          <cell r="J24">
            <v>1</v>
          </cell>
          <cell r="K24">
            <v>1</v>
          </cell>
          <cell r="L24" t="str">
            <v/>
          </cell>
          <cell r="M24" t="str">
            <v/>
          </cell>
          <cell r="N24" t="str">
            <v/>
          </cell>
          <cell r="O24">
            <v>1</v>
          </cell>
          <cell r="P24">
            <v>1</v>
          </cell>
          <cell r="Q24">
            <v>1.056</v>
          </cell>
          <cell r="R24" t="str">
            <v/>
          </cell>
          <cell r="S24">
            <v>0.93500000000000005</v>
          </cell>
          <cell r="T24" t="str">
            <v/>
          </cell>
          <cell r="U24" t="str">
            <v/>
          </cell>
          <cell r="V24">
            <v>1.1599999999999999</v>
          </cell>
          <cell r="W24">
            <v>0.95399999999999996</v>
          </cell>
          <cell r="X24">
            <v>1</v>
          </cell>
          <cell r="Y24" t="str">
            <v/>
          </cell>
          <cell r="Z24" t="str">
            <v/>
          </cell>
          <cell r="AA24">
            <v>0.93200000000000005</v>
          </cell>
          <cell r="AB24" t="str">
            <v/>
          </cell>
          <cell r="AC24" t="str">
            <v/>
          </cell>
          <cell r="AD24" t="str">
            <v/>
          </cell>
          <cell r="AE24">
            <v>1</v>
          </cell>
          <cell r="AF24">
            <v>0.81499999999999995</v>
          </cell>
          <cell r="AG24">
            <v>1</v>
          </cell>
          <cell r="AH24">
            <v>1.27</v>
          </cell>
          <cell r="AI24" t="str">
            <v/>
          </cell>
          <cell r="AJ24">
            <v>1</v>
          </cell>
          <cell r="AK24" t="str">
            <v/>
          </cell>
          <cell r="AL24" t="str">
            <v/>
          </cell>
          <cell r="AM24">
            <v>0.871</v>
          </cell>
          <cell r="AN24">
            <v>1.3420000000000001</v>
          </cell>
          <cell r="AO24">
            <v>1.5640000000000001</v>
          </cell>
          <cell r="AP24">
            <v>1.0369999999999999</v>
          </cell>
          <cell r="AQ24" t="str">
            <v/>
          </cell>
          <cell r="AR24">
            <v>1</v>
          </cell>
          <cell r="AS24">
            <v>1.0369999999999999</v>
          </cell>
          <cell r="AT24" t="str">
            <v/>
          </cell>
          <cell r="AU24">
            <v>1</v>
          </cell>
          <cell r="AV24">
            <v>0.85499999999999998</v>
          </cell>
          <cell r="AW24">
            <v>1</v>
          </cell>
          <cell r="AX24">
            <v>1.002</v>
          </cell>
          <cell r="AY24">
            <v>1.349</v>
          </cell>
          <cell r="AZ24">
            <v>1</v>
          </cell>
          <cell r="BA24" t="str">
            <v/>
          </cell>
          <cell r="FO24" t="str">
            <v>KS</v>
          </cell>
          <cell r="FP24">
            <v>18</v>
          </cell>
        </row>
        <row r="25">
          <cell r="B25">
            <v>2</v>
          </cell>
          <cell r="C25">
            <v>1.0189999999999999</v>
          </cell>
          <cell r="D25" t="str">
            <v/>
          </cell>
          <cell r="E25" t="str">
            <v/>
          </cell>
          <cell r="F25" t="str">
            <v/>
          </cell>
          <cell r="G25" t="str">
            <v/>
          </cell>
          <cell r="H25" t="str">
            <v/>
          </cell>
          <cell r="I25" t="str">
            <v/>
          </cell>
          <cell r="J25" t="str">
            <v/>
          </cell>
          <cell r="K25" t="str">
            <v/>
          </cell>
          <cell r="L25">
            <v>1.9079999999999999</v>
          </cell>
          <cell r="M25">
            <v>0.88100000000000001</v>
          </cell>
          <cell r="N25" t="str">
            <v/>
          </cell>
          <cell r="O25">
            <v>1</v>
          </cell>
          <cell r="P25" t="str">
            <v/>
          </cell>
          <cell r="Q25" t="str">
            <v/>
          </cell>
          <cell r="R25">
            <v>1.2</v>
          </cell>
          <cell r="S25">
            <v>1.0649999999999999</v>
          </cell>
          <cell r="T25" t="str">
            <v/>
          </cell>
          <cell r="U25" t="str">
            <v/>
          </cell>
          <cell r="V25">
            <v>1.044</v>
          </cell>
          <cell r="W25">
            <v>0.94299999999999995</v>
          </cell>
          <cell r="X25" t="str">
            <v/>
          </cell>
          <cell r="Y25">
            <v>1.55</v>
          </cell>
          <cell r="Z25">
            <v>1.02</v>
          </cell>
          <cell r="AA25" t="str">
            <v/>
          </cell>
          <cell r="AB25">
            <v>1.875</v>
          </cell>
          <cell r="AC25">
            <v>1.0609999999999999</v>
          </cell>
          <cell r="AD25" t="str">
            <v/>
          </cell>
          <cell r="AE25" t="str">
            <v/>
          </cell>
          <cell r="AF25" t="str">
            <v/>
          </cell>
          <cell r="AG25" t="str">
            <v/>
          </cell>
          <cell r="AH25">
            <v>1.4119999999999999</v>
          </cell>
          <cell r="AI25">
            <v>0.94099999999999995</v>
          </cell>
          <cell r="AJ25" t="str">
            <v/>
          </cell>
          <cell r="AK25">
            <v>0.95399999999999996</v>
          </cell>
          <cell r="AL25">
            <v>0.93100000000000005</v>
          </cell>
          <cell r="AM25">
            <v>0.95699999999999996</v>
          </cell>
          <cell r="AN25">
            <v>0.85</v>
          </cell>
          <cell r="AO25">
            <v>1.127</v>
          </cell>
          <cell r="AP25">
            <v>0.97</v>
          </cell>
          <cell r="AQ25">
            <v>0.81899999999999995</v>
          </cell>
          <cell r="AR25" t="str">
            <v/>
          </cell>
          <cell r="AS25">
            <v>0.88200000000000001</v>
          </cell>
          <cell r="AT25" t="str">
            <v/>
          </cell>
          <cell r="AU25" t="str">
            <v/>
          </cell>
          <cell r="AV25" t="str">
            <v/>
          </cell>
          <cell r="AW25" t="str">
            <v/>
          </cell>
          <cell r="AX25">
            <v>0.998</v>
          </cell>
          <cell r="AY25">
            <v>0.91100000000000003</v>
          </cell>
          <cell r="AZ25" t="str">
            <v/>
          </cell>
          <cell r="BA25">
            <v>0.93799999999999994</v>
          </cell>
          <cell r="FO25" t="str">
            <v>KY</v>
          </cell>
          <cell r="FP25">
            <v>19</v>
          </cell>
        </row>
        <row r="26">
          <cell r="B26">
            <v>3</v>
          </cell>
          <cell r="C26">
            <v>1.153</v>
          </cell>
          <cell r="D26" t="str">
            <v/>
          </cell>
          <cell r="E26" t="str">
            <v/>
          </cell>
          <cell r="F26">
            <v>1.006</v>
          </cell>
          <cell r="G26" t="str">
            <v/>
          </cell>
          <cell r="H26">
            <v>0.97799999999999998</v>
          </cell>
          <cell r="I26">
            <v>0.9</v>
          </cell>
          <cell r="J26" t="str">
            <v/>
          </cell>
          <cell r="K26" t="str">
            <v/>
          </cell>
          <cell r="L26" t="str">
            <v/>
          </cell>
          <cell r="M26" t="str">
            <v/>
          </cell>
          <cell r="N26" t="str">
            <v/>
          </cell>
          <cell r="O26" t="str">
            <v/>
          </cell>
          <cell r="P26" t="str">
            <v/>
          </cell>
          <cell r="Q26" t="str">
            <v/>
          </cell>
          <cell r="R26">
            <v>1.1200000000000001</v>
          </cell>
          <cell r="S26" t="str">
            <v/>
          </cell>
          <cell r="T26">
            <v>0.96299999999999997</v>
          </cell>
          <cell r="U26" t="str">
            <v/>
          </cell>
          <cell r="V26" t="str">
            <v/>
          </cell>
          <cell r="W26" t="str">
            <v/>
          </cell>
          <cell r="X26" t="str">
            <v/>
          </cell>
          <cell r="Y26">
            <v>0.90300000000000002</v>
          </cell>
          <cell r="Z26">
            <v>0.96399999999999997</v>
          </cell>
          <cell r="AA26">
            <v>1.0329999999999999</v>
          </cell>
          <cell r="AB26">
            <v>1.29</v>
          </cell>
          <cell r="AC26">
            <v>0.96199999999999997</v>
          </cell>
          <cell r="AD26">
            <v>0.92300000000000004</v>
          </cell>
          <cell r="AE26" t="str">
            <v/>
          </cell>
          <cell r="AF26">
            <v>0.93799999999999994</v>
          </cell>
          <cell r="AG26" t="str">
            <v/>
          </cell>
          <cell r="AH26">
            <v>0.94</v>
          </cell>
          <cell r="AI26">
            <v>1.0469999999999999</v>
          </cell>
          <cell r="AJ26" t="str">
            <v/>
          </cell>
          <cell r="AK26">
            <v>0.93300000000000005</v>
          </cell>
          <cell r="AL26" t="str">
            <v/>
          </cell>
          <cell r="AM26">
            <v>1.175</v>
          </cell>
          <cell r="AN26" t="str">
            <v/>
          </cell>
          <cell r="AO26">
            <v>1.0189999999999999</v>
          </cell>
          <cell r="AP26">
            <v>0.97899999999999998</v>
          </cell>
          <cell r="AQ26">
            <v>1.1000000000000001</v>
          </cell>
          <cell r="AR26" t="str">
            <v/>
          </cell>
          <cell r="AS26" t="str">
            <v/>
          </cell>
          <cell r="AT26" t="str">
            <v/>
          </cell>
          <cell r="AU26" t="str">
            <v/>
          </cell>
          <cell r="AV26" t="str">
            <v/>
          </cell>
          <cell r="AW26" t="str">
            <v/>
          </cell>
          <cell r="AX26" t="str">
            <v/>
          </cell>
          <cell r="AY26">
            <v>0.91100000000000003</v>
          </cell>
          <cell r="AZ26" t="str">
            <v/>
          </cell>
          <cell r="BA26">
            <v>1.012</v>
          </cell>
          <cell r="FO26" t="str">
            <v>LA</v>
          </cell>
          <cell r="FP26">
            <v>20</v>
          </cell>
        </row>
        <row r="27">
          <cell r="B27">
            <v>4</v>
          </cell>
          <cell r="C27" t="str">
            <v/>
          </cell>
          <cell r="D27">
            <v>0.95</v>
          </cell>
          <cell r="E27" t="str">
            <v/>
          </cell>
          <cell r="F27">
            <v>1.016</v>
          </cell>
          <cell r="G27" t="str">
            <v/>
          </cell>
          <cell r="H27">
            <v>1.071</v>
          </cell>
          <cell r="I27">
            <v>0.97299999999999998</v>
          </cell>
          <cell r="J27" t="str">
            <v/>
          </cell>
          <cell r="K27" t="str">
            <v/>
          </cell>
          <cell r="L27" t="str">
            <v/>
          </cell>
          <cell r="M27">
            <v>1.1080000000000001</v>
          </cell>
          <cell r="N27" t="str">
            <v/>
          </cell>
          <cell r="O27" t="str">
            <v/>
          </cell>
          <cell r="P27" t="str">
            <v/>
          </cell>
          <cell r="Q27">
            <v>1.0680000000000001</v>
          </cell>
          <cell r="R27">
            <v>1.0389999999999999</v>
          </cell>
          <cell r="S27" t="str">
            <v/>
          </cell>
          <cell r="T27">
            <v>1</v>
          </cell>
          <cell r="U27" t="str">
            <v/>
          </cell>
          <cell r="V27" t="str">
            <v/>
          </cell>
          <cell r="W27">
            <v>1.2090000000000001</v>
          </cell>
          <cell r="X27" t="str">
            <v/>
          </cell>
          <cell r="Y27">
            <v>0.90300000000000002</v>
          </cell>
          <cell r="Z27">
            <v>1.0720000000000001</v>
          </cell>
          <cell r="AA27">
            <v>1.048</v>
          </cell>
          <cell r="AB27">
            <v>1.149</v>
          </cell>
          <cell r="AC27">
            <v>0.97699999999999998</v>
          </cell>
          <cell r="AD27">
            <v>1.375</v>
          </cell>
          <cell r="AE27" t="str">
            <v/>
          </cell>
          <cell r="AF27">
            <v>1.2250000000000001</v>
          </cell>
          <cell r="AG27" t="str">
            <v/>
          </cell>
          <cell r="AH27" t="str">
            <v/>
          </cell>
          <cell r="AI27">
            <v>1.012</v>
          </cell>
          <cell r="AJ27" t="str">
            <v/>
          </cell>
          <cell r="AK27">
            <v>0.99</v>
          </cell>
          <cell r="AL27">
            <v>0.97</v>
          </cell>
          <cell r="AM27" t="str">
            <v/>
          </cell>
          <cell r="AN27" t="str">
            <v/>
          </cell>
          <cell r="AO27">
            <v>0.97899999999999998</v>
          </cell>
          <cell r="AP27" t="str">
            <v/>
          </cell>
          <cell r="AQ27">
            <v>1.54</v>
          </cell>
          <cell r="AR27" t="str">
            <v/>
          </cell>
          <cell r="AS27">
            <v>1.109</v>
          </cell>
          <cell r="AT27">
            <v>1.0249999999999999</v>
          </cell>
          <cell r="AU27" t="str">
            <v/>
          </cell>
          <cell r="AV27" t="str">
            <v/>
          </cell>
          <cell r="AW27" t="str">
            <v/>
          </cell>
          <cell r="AX27" t="str">
            <v/>
          </cell>
          <cell r="AY27">
            <v>0.89</v>
          </cell>
          <cell r="AZ27" t="str">
            <v/>
          </cell>
          <cell r="BA27" t="str">
            <v/>
          </cell>
          <cell r="FO27" t="str">
            <v>MA</v>
          </cell>
          <cell r="FP27">
            <v>21</v>
          </cell>
        </row>
        <row r="28">
          <cell r="B28">
            <v>5</v>
          </cell>
          <cell r="C28" t="str">
            <v/>
          </cell>
          <cell r="D28">
            <v>1.5209999999999999</v>
          </cell>
          <cell r="E28" t="str">
            <v/>
          </cell>
          <cell r="F28">
            <v>1.0389999999999999</v>
          </cell>
          <cell r="G28" t="str">
            <v/>
          </cell>
          <cell r="H28">
            <v>1.0449999999999999</v>
          </cell>
          <cell r="I28">
            <v>0.91</v>
          </cell>
          <cell r="J28" t="str">
            <v/>
          </cell>
          <cell r="K28" t="str">
            <v/>
          </cell>
          <cell r="L28" t="str">
            <v/>
          </cell>
          <cell r="M28">
            <v>0.998</v>
          </cell>
          <cell r="N28" t="str">
            <v/>
          </cell>
          <cell r="O28" t="str">
            <v/>
          </cell>
          <cell r="P28" t="str">
            <v/>
          </cell>
          <cell r="Q28" t="str">
            <v/>
          </cell>
          <cell r="R28">
            <v>0.85</v>
          </cell>
          <cell r="S28" t="str">
            <v/>
          </cell>
          <cell r="T28">
            <v>1.038</v>
          </cell>
          <cell r="U28" t="str">
            <v/>
          </cell>
          <cell r="V28" t="str">
            <v/>
          </cell>
          <cell r="W28">
            <v>0.89400000000000002</v>
          </cell>
          <cell r="X28" t="str">
            <v/>
          </cell>
          <cell r="Y28">
            <v>1.0289999999999999</v>
          </cell>
          <cell r="Z28">
            <v>1.085</v>
          </cell>
          <cell r="AA28">
            <v>0.98699999999999999</v>
          </cell>
          <cell r="AB28" t="str">
            <v/>
          </cell>
          <cell r="AC28" t="str">
            <v/>
          </cell>
          <cell r="AD28">
            <v>0.67100000000000004</v>
          </cell>
          <cell r="AE28" t="str">
            <v/>
          </cell>
          <cell r="AF28" t="str">
            <v/>
          </cell>
          <cell r="AG28" t="str">
            <v/>
          </cell>
          <cell r="AH28">
            <v>1.0289999999999999</v>
          </cell>
          <cell r="AI28" t="str">
            <v/>
          </cell>
          <cell r="AJ28" t="str">
            <v/>
          </cell>
          <cell r="AK28">
            <v>0.84699999999999998</v>
          </cell>
          <cell r="AL28" t="str">
            <v/>
          </cell>
          <cell r="AM28" t="str">
            <v/>
          </cell>
          <cell r="AN28" t="str">
            <v/>
          </cell>
          <cell r="AO28">
            <v>0.93899999999999995</v>
          </cell>
          <cell r="AP28" t="str">
            <v/>
          </cell>
          <cell r="AQ28" t="str">
            <v/>
          </cell>
          <cell r="AR28" t="str">
            <v/>
          </cell>
          <cell r="AS28">
            <v>1.109</v>
          </cell>
          <cell r="AT28">
            <v>0.97499999999999998</v>
          </cell>
          <cell r="AU28" t="str">
            <v/>
          </cell>
          <cell r="AV28">
            <v>1.0880000000000001</v>
          </cell>
          <cell r="AW28" t="str">
            <v/>
          </cell>
          <cell r="AX28" t="str">
            <v/>
          </cell>
          <cell r="AY28" t="str">
            <v/>
          </cell>
          <cell r="AZ28" t="str">
            <v/>
          </cell>
          <cell r="BA28" t="str">
            <v/>
          </cell>
          <cell r="FO28" t="str">
            <v>MD</v>
          </cell>
          <cell r="FP28">
            <v>22</v>
          </cell>
        </row>
        <row r="29">
          <cell r="B29">
            <v>6</v>
          </cell>
          <cell r="C29" t="str">
            <v/>
          </cell>
          <cell r="D29">
            <v>2.2000000000000002</v>
          </cell>
          <cell r="E29" t="str">
            <v/>
          </cell>
          <cell r="F29">
            <v>0.93899999999999995</v>
          </cell>
          <cell r="G29" t="str">
            <v/>
          </cell>
          <cell r="H29">
            <v>0.90700000000000003</v>
          </cell>
          <cell r="I29">
            <v>0.93500000000000005</v>
          </cell>
          <cell r="J29" t="str">
            <v/>
          </cell>
          <cell r="K29" t="str">
            <v/>
          </cell>
          <cell r="L29" t="str">
            <v/>
          </cell>
          <cell r="M29">
            <v>1.337</v>
          </cell>
          <cell r="N29" t="str">
            <v/>
          </cell>
          <cell r="O29" t="str">
            <v/>
          </cell>
          <cell r="P29" t="str">
            <v/>
          </cell>
          <cell r="Q29">
            <v>0.90900000000000003</v>
          </cell>
          <cell r="R29" t="str">
            <v/>
          </cell>
          <cell r="S29" t="str">
            <v/>
          </cell>
          <cell r="T29" t="str">
            <v/>
          </cell>
          <cell r="U29" t="str">
            <v/>
          </cell>
          <cell r="V29">
            <v>1.0940000000000001</v>
          </cell>
          <cell r="W29" t="str">
            <v/>
          </cell>
          <cell r="X29" t="str">
            <v/>
          </cell>
          <cell r="Y29">
            <v>1.175</v>
          </cell>
          <cell r="Z29">
            <v>1.03</v>
          </cell>
          <cell r="AA29" t="str">
            <v/>
          </cell>
          <cell r="AB29" t="str">
            <v/>
          </cell>
          <cell r="AC29" t="str">
            <v/>
          </cell>
          <cell r="AD29">
            <v>0.60399999999999998</v>
          </cell>
          <cell r="AE29" t="str">
            <v/>
          </cell>
          <cell r="AF29" t="str">
            <v/>
          </cell>
          <cell r="AG29" t="str">
            <v/>
          </cell>
          <cell r="AH29" t="str">
            <v/>
          </cell>
          <cell r="AI29" t="str">
            <v/>
          </cell>
          <cell r="AJ29" t="str">
            <v/>
          </cell>
          <cell r="AK29">
            <v>1.0840000000000001</v>
          </cell>
          <cell r="AL29">
            <v>0.91</v>
          </cell>
          <cell r="AM29" t="str">
            <v/>
          </cell>
          <cell r="AN29" t="str">
            <v/>
          </cell>
          <cell r="AO29" t="str">
            <v/>
          </cell>
          <cell r="AP29" t="str">
            <v/>
          </cell>
          <cell r="AQ29" t="str">
            <v/>
          </cell>
          <cell r="AR29" t="str">
            <v/>
          </cell>
          <cell r="AS29">
            <v>0.86199999999999999</v>
          </cell>
          <cell r="AT29">
            <v>0.85499999999999998</v>
          </cell>
          <cell r="AU29" t="str">
            <v/>
          </cell>
          <cell r="AV29">
            <v>1.35</v>
          </cell>
          <cell r="AW29" t="str">
            <v/>
          </cell>
          <cell r="AX29" t="str">
            <v/>
          </cell>
          <cell r="AY29" t="str">
            <v/>
          </cell>
          <cell r="AZ29" t="str">
            <v/>
          </cell>
          <cell r="BA29" t="str">
            <v/>
          </cell>
          <cell r="FO29" t="str">
            <v>ME</v>
          </cell>
          <cell r="FP29">
            <v>23</v>
          </cell>
        </row>
        <row r="30">
          <cell r="B30">
            <v>7</v>
          </cell>
          <cell r="C30" t="str">
            <v/>
          </cell>
          <cell r="D30" t="str">
            <v/>
          </cell>
          <cell r="E30" t="str">
            <v/>
          </cell>
          <cell r="F30" t="str">
            <v/>
          </cell>
          <cell r="G30" t="str">
            <v/>
          </cell>
          <cell r="H30" t="str">
            <v/>
          </cell>
          <cell r="I30">
            <v>0.99</v>
          </cell>
          <cell r="J30" t="str">
            <v/>
          </cell>
          <cell r="K30" t="str">
            <v/>
          </cell>
          <cell r="L30">
            <v>2.105</v>
          </cell>
          <cell r="M30" t="str">
            <v/>
          </cell>
          <cell r="N30" t="str">
            <v/>
          </cell>
          <cell r="O30" t="str">
            <v/>
          </cell>
          <cell r="P30" t="str">
            <v/>
          </cell>
          <cell r="Q30">
            <v>0.98499999999999999</v>
          </cell>
          <cell r="R30">
            <v>0.82499999999999996</v>
          </cell>
          <cell r="S30" t="str">
            <v/>
          </cell>
          <cell r="T30" t="str">
            <v/>
          </cell>
          <cell r="U30" t="str">
            <v/>
          </cell>
          <cell r="V30">
            <v>0.98299999999999998</v>
          </cell>
          <cell r="W30" t="str">
            <v/>
          </cell>
          <cell r="X30" t="str">
            <v/>
          </cell>
          <cell r="Y30" t="str">
            <v/>
          </cell>
          <cell r="Z30" t="str">
            <v/>
          </cell>
          <cell r="AA30" t="str">
            <v/>
          </cell>
          <cell r="AB30" t="str">
            <v/>
          </cell>
          <cell r="AC30" t="str">
            <v/>
          </cell>
          <cell r="AD30" t="str">
            <v/>
          </cell>
          <cell r="AE30" t="str">
            <v/>
          </cell>
          <cell r="AF30" t="str">
            <v/>
          </cell>
          <cell r="AG30" t="str">
            <v/>
          </cell>
          <cell r="AH30" t="str">
            <v/>
          </cell>
          <cell r="AI30" t="str">
            <v/>
          </cell>
          <cell r="AJ30" t="str">
            <v/>
          </cell>
          <cell r="AK30">
            <v>1.0129999999999999</v>
          </cell>
          <cell r="AL30" t="str">
            <v/>
          </cell>
          <cell r="AM30" t="str">
            <v/>
          </cell>
          <cell r="AN30" t="str">
            <v/>
          </cell>
          <cell r="AO30">
            <v>0.91</v>
          </cell>
          <cell r="AP30" t="str">
            <v/>
          </cell>
          <cell r="AQ30" t="str">
            <v/>
          </cell>
          <cell r="AR30" t="str">
            <v/>
          </cell>
          <cell r="AS30" t="str">
            <v/>
          </cell>
          <cell r="AT30">
            <v>0.95399999999999996</v>
          </cell>
          <cell r="AU30" t="str">
            <v/>
          </cell>
          <cell r="AV30">
            <v>1.41</v>
          </cell>
          <cell r="AW30" t="str">
            <v/>
          </cell>
          <cell r="AX30" t="str">
            <v/>
          </cell>
          <cell r="AY30" t="str">
            <v/>
          </cell>
          <cell r="AZ30" t="str">
            <v/>
          </cell>
          <cell r="BA30" t="str">
            <v/>
          </cell>
          <cell r="FO30" t="str">
            <v>MI</v>
          </cell>
          <cell r="FP30">
            <v>24</v>
          </cell>
        </row>
        <row r="31">
          <cell r="B31">
            <v>8</v>
          </cell>
          <cell r="C31" t="str">
            <v/>
          </cell>
          <cell r="D31" t="str">
            <v/>
          </cell>
          <cell r="E31" t="str">
            <v/>
          </cell>
          <cell r="F31" t="str">
            <v/>
          </cell>
          <cell r="G31" t="str">
            <v/>
          </cell>
          <cell r="H31" t="str">
            <v/>
          </cell>
          <cell r="I31">
            <v>1</v>
          </cell>
          <cell r="J31" t="str">
            <v/>
          </cell>
          <cell r="K31" t="str">
            <v/>
          </cell>
          <cell r="L31">
            <v>1.927</v>
          </cell>
          <cell r="M31" t="str">
            <v/>
          </cell>
          <cell r="N31" t="str">
            <v/>
          </cell>
          <cell r="O31" t="str">
            <v/>
          </cell>
          <cell r="P31" t="str">
            <v/>
          </cell>
          <cell r="Q31">
            <v>0.79800000000000004</v>
          </cell>
          <cell r="R31" t="str">
            <v/>
          </cell>
          <cell r="S31" t="str">
            <v/>
          </cell>
          <cell r="T31" t="str">
            <v/>
          </cell>
          <cell r="U31" t="str">
            <v/>
          </cell>
          <cell r="V31">
            <v>0.94499999999999995</v>
          </cell>
          <cell r="W31" t="str">
            <v/>
          </cell>
          <cell r="X31" t="str">
            <v/>
          </cell>
          <cell r="Y31" t="str">
            <v/>
          </cell>
          <cell r="Z31" t="str">
            <v/>
          </cell>
          <cell r="AA31" t="str">
            <v/>
          </cell>
          <cell r="AB31" t="str">
            <v/>
          </cell>
          <cell r="AC31" t="str">
            <v/>
          </cell>
          <cell r="AD31" t="str">
            <v/>
          </cell>
          <cell r="AE31" t="str">
            <v/>
          </cell>
          <cell r="AF31" t="str">
            <v/>
          </cell>
          <cell r="AG31" t="str">
            <v/>
          </cell>
          <cell r="AH31">
            <v>1.08</v>
          </cell>
          <cell r="AI31" t="str">
            <v/>
          </cell>
          <cell r="AJ31" t="str">
            <v/>
          </cell>
          <cell r="AK31">
            <v>1.0469999999999999</v>
          </cell>
          <cell r="AL31">
            <v>1.0409999999999999</v>
          </cell>
          <cell r="AM31" t="str">
            <v/>
          </cell>
          <cell r="AN31" t="str">
            <v/>
          </cell>
          <cell r="AO31" t="str">
            <v/>
          </cell>
          <cell r="AP31" t="str">
            <v/>
          </cell>
          <cell r="AQ31" t="str">
            <v/>
          </cell>
          <cell r="AR31" t="str">
            <v/>
          </cell>
          <cell r="AS31" t="str">
            <v/>
          </cell>
          <cell r="AT31">
            <v>1.0069999999999999</v>
          </cell>
          <cell r="AU31" t="str">
            <v/>
          </cell>
          <cell r="AV31">
            <v>1.8</v>
          </cell>
          <cell r="AW31" t="str">
            <v/>
          </cell>
          <cell r="AX31" t="str">
            <v/>
          </cell>
          <cell r="AY31" t="str">
            <v/>
          </cell>
          <cell r="AZ31" t="str">
            <v/>
          </cell>
          <cell r="BA31" t="str">
            <v/>
          </cell>
          <cell r="FO31" t="str">
            <v>MN</v>
          </cell>
          <cell r="FP31">
            <v>25</v>
          </cell>
        </row>
        <row r="32">
          <cell r="B32">
            <v>9</v>
          </cell>
          <cell r="C32" t="str">
            <v/>
          </cell>
          <cell r="D32" t="str">
            <v/>
          </cell>
          <cell r="E32" t="str">
            <v/>
          </cell>
          <cell r="F32" t="str">
            <v/>
          </cell>
          <cell r="G32" t="str">
            <v/>
          </cell>
          <cell r="H32" t="str">
            <v/>
          </cell>
          <cell r="I32">
            <v>1.03</v>
          </cell>
          <cell r="J32" t="str">
            <v/>
          </cell>
          <cell r="K32" t="str">
            <v/>
          </cell>
          <cell r="L32">
            <v>0.90400000000000003</v>
          </cell>
          <cell r="M32" t="str">
            <v/>
          </cell>
          <cell r="N32" t="str">
            <v/>
          </cell>
          <cell r="O32" t="str">
            <v/>
          </cell>
          <cell r="P32" t="str">
            <v/>
          </cell>
          <cell r="Q32">
            <v>0.78200000000000003</v>
          </cell>
          <cell r="R32" t="str">
            <v/>
          </cell>
          <cell r="S32" t="str">
            <v/>
          </cell>
          <cell r="T32" t="str">
            <v/>
          </cell>
          <cell r="U32" t="str">
            <v/>
          </cell>
          <cell r="V32">
            <v>0.94099999999999995</v>
          </cell>
          <cell r="W32" t="str">
            <v/>
          </cell>
          <cell r="X32" t="str">
            <v/>
          </cell>
          <cell r="Y32" t="str">
            <v/>
          </cell>
          <cell r="Z32" t="str">
            <v/>
          </cell>
          <cell r="AA32" t="str">
            <v/>
          </cell>
          <cell r="AB32" t="str">
            <v/>
          </cell>
          <cell r="AC32" t="str">
            <v/>
          </cell>
          <cell r="AD32" t="str">
            <v/>
          </cell>
          <cell r="AE32" t="str">
            <v/>
          </cell>
          <cell r="AF32" t="str">
            <v/>
          </cell>
          <cell r="AG32" t="str">
            <v/>
          </cell>
          <cell r="AH32">
            <v>0.65300000000000002</v>
          </cell>
          <cell r="AI32" t="str">
            <v/>
          </cell>
          <cell r="AJ32" t="str">
            <v/>
          </cell>
          <cell r="AK32">
            <v>0.98</v>
          </cell>
          <cell r="AL32">
            <v>1.0409999999999999</v>
          </cell>
          <cell r="AM32" t="str">
            <v/>
          </cell>
          <cell r="AN32" t="str">
            <v/>
          </cell>
          <cell r="AO32">
            <v>0.90600000000000003</v>
          </cell>
          <cell r="AP32" t="str">
            <v/>
          </cell>
          <cell r="AQ32" t="str">
            <v/>
          </cell>
          <cell r="AR32" t="str">
            <v/>
          </cell>
          <cell r="AS32" t="str">
            <v/>
          </cell>
          <cell r="AT32">
            <v>0.96799999999999997</v>
          </cell>
          <cell r="AU32" t="str">
            <v/>
          </cell>
          <cell r="AV32">
            <v>1.3480000000000001</v>
          </cell>
          <cell r="AW32" t="str">
            <v/>
          </cell>
          <cell r="AX32" t="str">
            <v/>
          </cell>
          <cell r="AY32" t="str">
            <v/>
          </cell>
          <cell r="AZ32" t="str">
            <v/>
          </cell>
          <cell r="BA32" t="str">
            <v/>
          </cell>
          <cell r="FO32" t="str">
            <v>MO</v>
          </cell>
          <cell r="FP32">
            <v>26</v>
          </cell>
        </row>
        <row r="33">
          <cell r="B33">
            <v>10</v>
          </cell>
          <cell r="C33" t="str">
            <v/>
          </cell>
          <cell r="D33" t="str">
            <v/>
          </cell>
          <cell r="E33" t="str">
            <v/>
          </cell>
          <cell r="F33" t="str">
            <v/>
          </cell>
          <cell r="G33" t="str">
            <v/>
          </cell>
          <cell r="H33" t="str">
            <v/>
          </cell>
          <cell r="I33" t="str">
            <v/>
          </cell>
          <cell r="J33" t="str">
            <v/>
          </cell>
          <cell r="K33" t="str">
            <v/>
          </cell>
          <cell r="L33">
            <v>1.2749999999999999</v>
          </cell>
          <cell r="M33" t="str">
            <v/>
          </cell>
          <cell r="N33" t="str">
            <v/>
          </cell>
          <cell r="O33" t="str">
            <v/>
          </cell>
          <cell r="P33" t="str">
            <v/>
          </cell>
          <cell r="Q33" t="str">
            <v/>
          </cell>
          <cell r="R33" t="str">
            <v/>
          </cell>
          <cell r="S33" t="str">
            <v/>
          </cell>
          <cell r="T33" t="str">
            <v/>
          </cell>
          <cell r="U33" t="str">
            <v/>
          </cell>
          <cell r="V33">
            <v>1.048</v>
          </cell>
          <cell r="W33" t="str">
            <v/>
          </cell>
          <cell r="X33" t="str">
            <v/>
          </cell>
          <cell r="Y33" t="str">
            <v/>
          </cell>
          <cell r="Z33" t="str">
            <v/>
          </cell>
          <cell r="AA33" t="str">
            <v/>
          </cell>
          <cell r="AB33" t="str">
            <v/>
          </cell>
          <cell r="AC33" t="str">
            <v/>
          </cell>
          <cell r="AD33" t="str">
            <v/>
          </cell>
          <cell r="AE33" t="str">
            <v/>
          </cell>
          <cell r="AF33" t="str">
            <v/>
          </cell>
          <cell r="AG33" t="str">
            <v/>
          </cell>
          <cell r="AH33" t="str">
            <v/>
          </cell>
          <cell r="AI33" t="str">
            <v/>
          </cell>
          <cell r="AJ33" t="str">
            <v/>
          </cell>
          <cell r="AK33" t="str">
            <v/>
          </cell>
          <cell r="AL33">
            <v>1.0409999999999999</v>
          </cell>
          <cell r="AM33" t="str">
            <v/>
          </cell>
          <cell r="AN33" t="str">
            <v/>
          </cell>
          <cell r="AO33" t="str">
            <v/>
          </cell>
          <cell r="AP33" t="str">
            <v/>
          </cell>
          <cell r="AQ33" t="str">
            <v/>
          </cell>
          <cell r="AR33" t="str">
            <v/>
          </cell>
          <cell r="AS33" t="str">
            <v/>
          </cell>
          <cell r="AT33">
            <v>1.746</v>
          </cell>
          <cell r="AU33" t="str">
            <v/>
          </cell>
          <cell r="AV33">
            <v>2.35</v>
          </cell>
          <cell r="AW33" t="str">
            <v/>
          </cell>
          <cell r="AX33" t="str">
            <v/>
          </cell>
          <cell r="AY33" t="str">
            <v/>
          </cell>
          <cell r="AZ33" t="str">
            <v/>
          </cell>
          <cell r="BA33" t="str">
            <v/>
          </cell>
          <cell r="FO33" t="str">
            <v>MS</v>
          </cell>
          <cell r="FP33">
            <v>27</v>
          </cell>
        </row>
        <row r="34">
          <cell r="B34">
            <v>11</v>
          </cell>
          <cell r="C34" t="str">
            <v/>
          </cell>
          <cell r="D34" t="str">
            <v/>
          </cell>
          <cell r="E34" t="str">
            <v/>
          </cell>
          <cell r="F34" t="str">
            <v/>
          </cell>
          <cell r="G34" t="str">
            <v/>
          </cell>
          <cell r="H34" t="str">
            <v/>
          </cell>
          <cell r="I34" t="str">
            <v/>
          </cell>
          <cell r="J34" t="str">
            <v/>
          </cell>
          <cell r="K34" t="str">
            <v/>
          </cell>
          <cell r="L34">
            <v>2.7450000000000001</v>
          </cell>
          <cell r="M34" t="str">
            <v/>
          </cell>
          <cell r="N34" t="str">
            <v/>
          </cell>
          <cell r="O34" t="str">
            <v/>
          </cell>
          <cell r="P34" t="str">
            <v/>
          </cell>
          <cell r="Q34" t="str">
            <v/>
          </cell>
          <cell r="R34" t="str">
            <v/>
          </cell>
          <cell r="S34" t="str">
            <v/>
          </cell>
          <cell r="T34" t="str">
            <v/>
          </cell>
          <cell r="U34" t="str">
            <v/>
          </cell>
          <cell r="V34" t="str">
            <v/>
          </cell>
          <cell r="W34" t="str">
            <v/>
          </cell>
          <cell r="X34" t="str">
            <v/>
          </cell>
          <cell r="Y34" t="str">
            <v/>
          </cell>
          <cell r="Z34" t="str">
            <v/>
          </cell>
          <cell r="AA34" t="str">
            <v/>
          </cell>
          <cell r="AB34" t="str">
            <v/>
          </cell>
          <cell r="AC34" t="str">
            <v/>
          </cell>
          <cell r="AD34" t="str">
            <v/>
          </cell>
          <cell r="AE34" t="str">
            <v/>
          </cell>
          <cell r="AF34" t="str">
            <v/>
          </cell>
          <cell r="AG34" t="str">
            <v/>
          </cell>
          <cell r="AH34">
            <v>0.66300000000000003</v>
          </cell>
          <cell r="AI34" t="str">
            <v/>
          </cell>
          <cell r="AJ34" t="str">
            <v/>
          </cell>
          <cell r="AK34">
            <v>1.175</v>
          </cell>
          <cell r="AL34">
            <v>0.84399999999999997</v>
          </cell>
          <cell r="AM34" t="str">
            <v/>
          </cell>
          <cell r="AN34" t="str">
            <v/>
          </cell>
          <cell r="AO34">
            <v>0.94599999999999995</v>
          </cell>
          <cell r="AP34" t="str">
            <v/>
          </cell>
          <cell r="AQ34" t="str">
            <v/>
          </cell>
          <cell r="AR34" t="str">
            <v/>
          </cell>
          <cell r="AS34" t="str">
            <v/>
          </cell>
          <cell r="AT34">
            <v>1.498</v>
          </cell>
          <cell r="AU34" t="str">
            <v/>
          </cell>
          <cell r="AV34">
            <v>2.125</v>
          </cell>
          <cell r="AW34" t="str">
            <v/>
          </cell>
          <cell r="AX34" t="str">
            <v/>
          </cell>
          <cell r="AY34" t="str">
            <v/>
          </cell>
          <cell r="AZ34" t="str">
            <v/>
          </cell>
          <cell r="BA34" t="str">
            <v/>
          </cell>
          <cell r="FO34" t="str">
            <v>MT</v>
          </cell>
          <cell r="FP34">
            <v>28</v>
          </cell>
        </row>
        <row r="35">
          <cell r="B35">
            <v>12</v>
          </cell>
          <cell r="C35" t="str">
            <v/>
          </cell>
          <cell r="D35" t="str">
            <v/>
          </cell>
          <cell r="E35" t="str">
            <v/>
          </cell>
          <cell r="F35" t="str">
            <v/>
          </cell>
          <cell r="G35" t="str">
            <v/>
          </cell>
          <cell r="H35" t="str">
            <v/>
          </cell>
          <cell r="I35" t="str">
            <v/>
          </cell>
          <cell r="J35" t="str">
            <v/>
          </cell>
          <cell r="K35" t="str">
            <v/>
          </cell>
          <cell r="L35">
            <v>3.1629999999999998</v>
          </cell>
          <cell r="M35" t="str">
            <v/>
          </cell>
          <cell r="N35" t="str">
            <v/>
          </cell>
          <cell r="O35" t="str">
            <v/>
          </cell>
          <cell r="P35" t="str">
            <v/>
          </cell>
          <cell r="Q35" t="str">
            <v/>
          </cell>
          <cell r="R35" t="str">
            <v/>
          </cell>
          <cell r="S35" t="str">
            <v/>
          </cell>
          <cell r="T35" t="str">
            <v/>
          </cell>
          <cell r="U35" t="str">
            <v/>
          </cell>
          <cell r="V35" t="str">
            <v/>
          </cell>
          <cell r="W35" t="str">
            <v/>
          </cell>
          <cell r="X35" t="str">
            <v/>
          </cell>
          <cell r="Y35" t="str">
            <v/>
          </cell>
          <cell r="Z35" t="str">
            <v/>
          </cell>
          <cell r="AA35" t="str">
            <v/>
          </cell>
          <cell r="AB35" t="str">
            <v/>
          </cell>
          <cell r="AC35" t="str">
            <v/>
          </cell>
          <cell r="AD35" t="str">
            <v/>
          </cell>
          <cell r="AE35" t="str">
            <v/>
          </cell>
          <cell r="AF35" t="str">
            <v/>
          </cell>
          <cell r="AG35" t="str">
            <v/>
          </cell>
          <cell r="AH35">
            <v>0.66300000000000003</v>
          </cell>
          <cell r="AI35" t="str">
            <v/>
          </cell>
          <cell r="AJ35" t="str">
            <v/>
          </cell>
          <cell r="AK35" t="str">
            <v/>
          </cell>
          <cell r="AL35">
            <v>1.1000000000000001</v>
          </cell>
          <cell r="AM35" t="str">
            <v/>
          </cell>
          <cell r="AN35" t="str">
            <v/>
          </cell>
          <cell r="AO35" t="str">
            <v/>
          </cell>
          <cell r="AP35" t="str">
            <v/>
          </cell>
          <cell r="AQ35" t="str">
            <v/>
          </cell>
          <cell r="AR35" t="str">
            <v/>
          </cell>
          <cell r="AS35" t="str">
            <v/>
          </cell>
          <cell r="AT35">
            <v>1.1060000000000001</v>
          </cell>
          <cell r="AU35" t="str">
            <v/>
          </cell>
          <cell r="AV35">
            <v>0.92500000000000004</v>
          </cell>
          <cell r="AW35" t="str">
            <v/>
          </cell>
          <cell r="AX35" t="str">
            <v/>
          </cell>
          <cell r="AY35" t="str">
            <v/>
          </cell>
          <cell r="AZ35" t="str">
            <v/>
          </cell>
          <cell r="BA35" t="str">
            <v/>
          </cell>
          <cell r="FO35" t="str">
            <v>NC</v>
          </cell>
          <cell r="FP35">
            <v>29</v>
          </cell>
        </row>
        <row r="36">
          <cell r="B36">
            <v>13</v>
          </cell>
          <cell r="C36" t="str">
            <v/>
          </cell>
          <cell r="D36" t="str">
            <v/>
          </cell>
          <cell r="E36" t="str">
            <v/>
          </cell>
          <cell r="F36" t="str">
            <v/>
          </cell>
          <cell r="G36">
            <v>1.3720000000000001</v>
          </cell>
          <cell r="H36" t="str">
            <v/>
          </cell>
          <cell r="I36" t="str">
            <v/>
          </cell>
          <cell r="J36" t="str">
            <v/>
          </cell>
          <cell r="K36" t="str">
            <v/>
          </cell>
          <cell r="L36">
            <v>0.86799999999999999</v>
          </cell>
          <cell r="M36" t="str">
            <v/>
          </cell>
          <cell r="N36" t="str">
            <v/>
          </cell>
          <cell r="O36" t="str">
            <v/>
          </cell>
          <cell r="P36" t="str">
            <v/>
          </cell>
          <cell r="Q36" t="str">
            <v/>
          </cell>
          <cell r="R36" t="str">
            <v/>
          </cell>
          <cell r="S36" t="str">
            <v/>
          </cell>
          <cell r="T36" t="str">
            <v/>
          </cell>
          <cell r="U36" t="str">
            <v/>
          </cell>
          <cell r="V36" t="str">
            <v/>
          </cell>
          <cell r="W36" t="str">
            <v/>
          </cell>
          <cell r="X36" t="str">
            <v/>
          </cell>
          <cell r="Y36" t="str">
            <v/>
          </cell>
          <cell r="Z36" t="str">
            <v/>
          </cell>
          <cell r="AA36" t="str">
            <v/>
          </cell>
          <cell r="AB36" t="str">
            <v/>
          </cell>
          <cell r="AC36" t="str">
            <v/>
          </cell>
          <cell r="AD36" t="str">
            <v/>
          </cell>
          <cell r="AE36" t="str">
            <v/>
          </cell>
          <cell r="AF36" t="str">
            <v/>
          </cell>
          <cell r="AG36" t="str">
            <v/>
          </cell>
          <cell r="AH36">
            <v>0.54</v>
          </cell>
          <cell r="AI36" t="str">
            <v/>
          </cell>
          <cell r="AJ36" t="str">
            <v/>
          </cell>
          <cell r="AK36">
            <v>0.93100000000000005</v>
          </cell>
          <cell r="AL36">
            <v>1.4</v>
          </cell>
          <cell r="AM36" t="str">
            <v/>
          </cell>
          <cell r="AN36" t="str">
            <v/>
          </cell>
          <cell r="AO36" t="str">
            <v/>
          </cell>
          <cell r="AP36" t="str">
            <v/>
          </cell>
          <cell r="AQ36" t="str">
            <v/>
          </cell>
          <cell r="AR36" t="str">
            <v/>
          </cell>
          <cell r="AS36" t="str">
            <v/>
          </cell>
          <cell r="AT36">
            <v>1.3959999999999999</v>
          </cell>
          <cell r="AU36" t="str">
            <v/>
          </cell>
          <cell r="AV36">
            <v>1.1000000000000001</v>
          </cell>
          <cell r="AW36" t="str">
            <v/>
          </cell>
          <cell r="AX36" t="str">
            <v/>
          </cell>
          <cell r="AY36" t="str">
            <v/>
          </cell>
          <cell r="AZ36" t="str">
            <v/>
          </cell>
          <cell r="BA36" t="str">
            <v/>
          </cell>
          <cell r="FO36" t="str">
            <v>ND</v>
          </cell>
          <cell r="FP36">
            <v>30</v>
          </cell>
        </row>
        <row r="37">
          <cell r="B37">
            <v>14</v>
          </cell>
          <cell r="C37" t="str">
            <v/>
          </cell>
          <cell r="D37" t="str">
            <v/>
          </cell>
          <cell r="E37" t="str">
            <v/>
          </cell>
          <cell r="F37" t="str">
            <v/>
          </cell>
          <cell r="G37">
            <v>1.0209999999999999</v>
          </cell>
          <cell r="H37" t="str">
            <v/>
          </cell>
          <cell r="I37" t="str">
            <v/>
          </cell>
          <cell r="J37" t="str">
            <v/>
          </cell>
          <cell r="K37" t="str">
            <v/>
          </cell>
          <cell r="L37">
            <v>2.1880000000000002</v>
          </cell>
          <cell r="M37" t="str">
            <v/>
          </cell>
          <cell r="N37" t="str">
            <v/>
          </cell>
          <cell r="O37" t="str">
            <v/>
          </cell>
          <cell r="P37" t="str">
            <v/>
          </cell>
          <cell r="Q37" t="str">
            <v/>
          </cell>
          <cell r="R37" t="str">
            <v/>
          </cell>
          <cell r="S37" t="str">
            <v/>
          </cell>
          <cell r="T37" t="str">
            <v/>
          </cell>
          <cell r="U37" t="str">
            <v/>
          </cell>
          <cell r="V37" t="str">
            <v/>
          </cell>
          <cell r="W37" t="str">
            <v/>
          </cell>
          <cell r="X37" t="str">
            <v/>
          </cell>
          <cell r="Y37" t="str">
            <v/>
          </cell>
          <cell r="Z37" t="str">
            <v/>
          </cell>
          <cell r="AA37" t="str">
            <v/>
          </cell>
          <cell r="AB37" t="str">
            <v/>
          </cell>
          <cell r="AC37" t="str">
            <v/>
          </cell>
          <cell r="AD37" t="str">
            <v/>
          </cell>
          <cell r="AE37" t="str">
            <v/>
          </cell>
          <cell r="AF37" t="str">
            <v/>
          </cell>
          <cell r="AG37" t="str">
            <v/>
          </cell>
          <cell r="AH37">
            <v>0.81299999999999994</v>
          </cell>
          <cell r="AI37" t="str">
            <v/>
          </cell>
          <cell r="AJ37" t="str">
            <v/>
          </cell>
          <cell r="AK37">
            <v>1.014</v>
          </cell>
          <cell r="AL37">
            <v>0.98299999999999998</v>
          </cell>
          <cell r="AM37" t="str">
            <v/>
          </cell>
          <cell r="AN37" t="str">
            <v/>
          </cell>
          <cell r="AO37">
            <v>0.91400000000000003</v>
          </cell>
          <cell r="AP37" t="str">
            <v/>
          </cell>
          <cell r="AQ37" t="str">
            <v/>
          </cell>
          <cell r="AR37" t="str">
            <v/>
          </cell>
          <cell r="AS37" t="str">
            <v/>
          </cell>
          <cell r="AT37">
            <v>1.417</v>
          </cell>
          <cell r="AU37" t="str">
            <v/>
          </cell>
          <cell r="AV37" t="str">
            <v/>
          </cell>
          <cell r="AW37" t="str">
            <v/>
          </cell>
          <cell r="AX37" t="str">
            <v/>
          </cell>
          <cell r="AY37" t="str">
            <v/>
          </cell>
          <cell r="AZ37" t="str">
            <v/>
          </cell>
          <cell r="BA37" t="str">
            <v/>
          </cell>
          <cell r="FO37" t="str">
            <v>NE</v>
          </cell>
          <cell r="FP37">
            <v>31</v>
          </cell>
        </row>
        <row r="38">
          <cell r="B38">
            <v>15</v>
          </cell>
          <cell r="C38" t="str">
            <v/>
          </cell>
          <cell r="D38" t="str">
            <v/>
          </cell>
          <cell r="E38" t="str">
            <v/>
          </cell>
          <cell r="F38" t="str">
            <v/>
          </cell>
          <cell r="G38">
            <v>0.90100000000000002</v>
          </cell>
          <cell r="H38" t="str">
            <v/>
          </cell>
          <cell r="I38" t="str">
            <v/>
          </cell>
          <cell r="J38" t="str">
            <v/>
          </cell>
          <cell r="K38" t="str">
            <v/>
          </cell>
          <cell r="L38">
            <v>1.4379999999999999</v>
          </cell>
          <cell r="M38" t="str">
            <v/>
          </cell>
          <cell r="N38" t="str">
            <v/>
          </cell>
          <cell r="O38" t="str">
            <v/>
          </cell>
          <cell r="P38" t="str">
            <v/>
          </cell>
          <cell r="Q38">
            <v>0.94099999999999995</v>
          </cell>
          <cell r="R38" t="str">
            <v/>
          </cell>
          <cell r="S38" t="str">
            <v/>
          </cell>
          <cell r="T38" t="str">
            <v/>
          </cell>
          <cell r="U38" t="str">
            <v/>
          </cell>
          <cell r="V38">
            <v>1.0329999999999999</v>
          </cell>
          <cell r="W38" t="str">
            <v/>
          </cell>
          <cell r="X38" t="str">
            <v/>
          </cell>
          <cell r="Y38" t="str">
            <v/>
          </cell>
          <cell r="Z38" t="str">
            <v/>
          </cell>
          <cell r="AA38" t="str">
            <v/>
          </cell>
          <cell r="AB38" t="str">
            <v/>
          </cell>
          <cell r="AC38" t="str">
            <v/>
          </cell>
          <cell r="AD38" t="str">
            <v/>
          </cell>
          <cell r="AE38" t="str">
            <v/>
          </cell>
          <cell r="AF38" t="str">
            <v/>
          </cell>
          <cell r="AG38" t="str">
            <v/>
          </cell>
          <cell r="AH38">
            <v>0.66300000000000003</v>
          </cell>
          <cell r="AI38" t="str">
            <v/>
          </cell>
          <cell r="AJ38" t="str">
            <v/>
          </cell>
          <cell r="AK38">
            <v>1.014</v>
          </cell>
          <cell r="AL38">
            <v>1.054</v>
          </cell>
          <cell r="AM38" t="str">
            <v/>
          </cell>
          <cell r="AN38" t="str">
            <v/>
          </cell>
          <cell r="AO38" t="str">
            <v/>
          </cell>
          <cell r="AP38" t="str">
            <v/>
          </cell>
          <cell r="AQ38" t="str">
            <v/>
          </cell>
          <cell r="AR38" t="str">
            <v/>
          </cell>
          <cell r="AS38" t="str">
            <v/>
          </cell>
          <cell r="AT38">
            <v>2.177</v>
          </cell>
          <cell r="AU38" t="str">
            <v/>
          </cell>
          <cell r="AV38" t="str">
            <v/>
          </cell>
          <cell r="AW38" t="str">
            <v/>
          </cell>
          <cell r="AX38" t="str">
            <v/>
          </cell>
          <cell r="AY38" t="str">
            <v/>
          </cell>
          <cell r="AZ38" t="str">
            <v/>
          </cell>
          <cell r="BA38" t="str">
            <v/>
          </cell>
          <cell r="FO38" t="str">
            <v>NH</v>
          </cell>
          <cell r="FP38">
            <v>32</v>
          </cell>
        </row>
        <row r="39">
          <cell r="B39">
            <v>16</v>
          </cell>
          <cell r="C39" t="str">
            <v/>
          </cell>
          <cell r="D39" t="str">
            <v/>
          </cell>
          <cell r="E39" t="str">
            <v/>
          </cell>
          <cell r="F39" t="str">
            <v/>
          </cell>
          <cell r="G39">
            <v>0.996</v>
          </cell>
          <cell r="H39" t="str">
            <v/>
          </cell>
          <cell r="I39" t="str">
            <v/>
          </cell>
          <cell r="J39" t="str">
            <v/>
          </cell>
          <cell r="K39" t="str">
            <v/>
          </cell>
          <cell r="L39">
            <v>1.194</v>
          </cell>
          <cell r="M39" t="str">
            <v/>
          </cell>
          <cell r="N39" t="str">
            <v/>
          </cell>
          <cell r="O39" t="str">
            <v/>
          </cell>
          <cell r="P39" t="str">
            <v/>
          </cell>
          <cell r="Q39">
            <v>1.2729999999999999</v>
          </cell>
          <cell r="R39" t="str">
            <v/>
          </cell>
          <cell r="S39" t="str">
            <v/>
          </cell>
          <cell r="T39" t="str">
            <v/>
          </cell>
          <cell r="U39" t="str">
            <v/>
          </cell>
          <cell r="V39">
            <v>0.84099999999999997</v>
          </cell>
          <cell r="W39" t="str">
            <v/>
          </cell>
          <cell r="X39" t="str">
            <v/>
          </cell>
          <cell r="Y39" t="str">
            <v/>
          </cell>
          <cell r="Z39" t="str">
            <v/>
          </cell>
          <cell r="AA39" t="str">
            <v/>
          </cell>
          <cell r="AB39" t="str">
            <v/>
          </cell>
          <cell r="AC39" t="str">
            <v/>
          </cell>
          <cell r="AD39" t="str">
            <v/>
          </cell>
          <cell r="AE39" t="str">
            <v/>
          </cell>
          <cell r="AF39" t="str">
            <v/>
          </cell>
          <cell r="AG39" t="str">
            <v/>
          </cell>
          <cell r="AH39">
            <v>0.67800000000000005</v>
          </cell>
          <cell r="AI39" t="str">
            <v/>
          </cell>
          <cell r="AJ39" t="str">
            <v/>
          </cell>
          <cell r="AK39">
            <v>0.94</v>
          </cell>
          <cell r="AL39">
            <v>0.999</v>
          </cell>
          <cell r="AM39" t="str">
            <v/>
          </cell>
          <cell r="AN39" t="str">
            <v/>
          </cell>
          <cell r="AO39">
            <v>0.97499999999999998</v>
          </cell>
          <cell r="AP39" t="str">
            <v/>
          </cell>
          <cell r="AQ39" t="str">
            <v/>
          </cell>
          <cell r="AR39" t="str">
            <v/>
          </cell>
          <cell r="AS39" t="str">
            <v/>
          </cell>
          <cell r="AT39">
            <v>1.714</v>
          </cell>
          <cell r="AU39" t="str">
            <v/>
          </cell>
          <cell r="AV39" t="str">
            <v/>
          </cell>
          <cell r="AW39" t="str">
            <v/>
          </cell>
          <cell r="AX39" t="str">
            <v/>
          </cell>
          <cell r="AY39" t="str">
            <v/>
          </cell>
          <cell r="AZ39" t="str">
            <v/>
          </cell>
          <cell r="BA39" t="str">
            <v/>
          </cell>
          <cell r="FO39" t="str">
            <v>NJ</v>
          </cell>
          <cell r="FP39">
            <v>33</v>
          </cell>
        </row>
        <row r="40">
          <cell r="B40">
            <v>17</v>
          </cell>
          <cell r="C40" t="str">
            <v/>
          </cell>
          <cell r="D40" t="str">
            <v/>
          </cell>
          <cell r="E40" t="str">
            <v/>
          </cell>
          <cell r="F40" t="str">
            <v/>
          </cell>
          <cell r="G40">
            <v>1.387</v>
          </cell>
          <cell r="H40" t="str">
            <v/>
          </cell>
          <cell r="I40" t="str">
            <v/>
          </cell>
          <cell r="J40" t="str">
            <v/>
          </cell>
          <cell r="K40" t="str">
            <v/>
          </cell>
          <cell r="L40">
            <v>0.99299999999999999</v>
          </cell>
          <cell r="M40" t="str">
            <v/>
          </cell>
          <cell r="N40" t="str">
            <v/>
          </cell>
          <cell r="O40" t="str">
            <v/>
          </cell>
          <cell r="P40" t="str">
            <v/>
          </cell>
          <cell r="Q40" t="str">
            <v/>
          </cell>
          <cell r="R40" t="str">
            <v/>
          </cell>
          <cell r="S40" t="str">
            <v/>
          </cell>
          <cell r="T40" t="str">
            <v/>
          </cell>
          <cell r="U40" t="str">
            <v/>
          </cell>
          <cell r="V40">
            <v>0.91100000000000003</v>
          </cell>
          <cell r="W40" t="str">
            <v/>
          </cell>
          <cell r="X40" t="str">
            <v/>
          </cell>
          <cell r="Y40" t="str">
            <v/>
          </cell>
          <cell r="Z40" t="str">
            <v/>
          </cell>
          <cell r="AA40" t="str">
            <v/>
          </cell>
          <cell r="AB40" t="str">
            <v/>
          </cell>
          <cell r="AC40" t="str">
            <v/>
          </cell>
          <cell r="AD40" t="str">
            <v/>
          </cell>
          <cell r="AE40" t="str">
            <v/>
          </cell>
          <cell r="AF40" t="str">
            <v/>
          </cell>
          <cell r="AG40" t="str">
            <v/>
          </cell>
          <cell r="AH40">
            <v>1.026</v>
          </cell>
          <cell r="AI40" t="str">
            <v/>
          </cell>
          <cell r="AJ40" t="str">
            <v/>
          </cell>
          <cell r="AK40">
            <v>0.91300000000000003</v>
          </cell>
          <cell r="AL40">
            <v>0.98899999999999999</v>
          </cell>
          <cell r="AM40" t="str">
            <v/>
          </cell>
          <cell r="AN40" t="str">
            <v/>
          </cell>
          <cell r="AO40">
            <v>1.0620000000000001</v>
          </cell>
          <cell r="AP40" t="str">
            <v/>
          </cell>
          <cell r="AQ40" t="str">
            <v/>
          </cell>
          <cell r="AR40" t="str">
            <v/>
          </cell>
          <cell r="AS40" t="str">
            <v/>
          </cell>
          <cell r="AT40" t="str">
            <v/>
          </cell>
          <cell r="AU40" t="str">
            <v/>
          </cell>
          <cell r="AV40" t="str">
            <v/>
          </cell>
          <cell r="AW40" t="str">
            <v/>
          </cell>
          <cell r="AX40" t="str">
            <v/>
          </cell>
          <cell r="AY40" t="str">
            <v/>
          </cell>
          <cell r="AZ40" t="str">
            <v/>
          </cell>
          <cell r="BA40" t="str">
            <v/>
          </cell>
          <cell r="FO40" t="str">
            <v>NM</v>
          </cell>
          <cell r="FP40">
            <v>34</v>
          </cell>
        </row>
        <row r="41">
          <cell r="B41">
            <v>18</v>
          </cell>
          <cell r="C41" t="str">
            <v/>
          </cell>
          <cell r="D41" t="str">
            <v/>
          </cell>
          <cell r="E41" t="str">
            <v/>
          </cell>
          <cell r="F41" t="str">
            <v/>
          </cell>
          <cell r="G41">
            <v>1.0860000000000001</v>
          </cell>
          <cell r="H41" t="str">
            <v/>
          </cell>
          <cell r="I41" t="str">
            <v/>
          </cell>
          <cell r="J41" t="str">
            <v/>
          </cell>
          <cell r="K41" t="str">
            <v/>
          </cell>
          <cell r="L41" t="str">
            <v/>
          </cell>
          <cell r="M41" t="str">
            <v/>
          </cell>
          <cell r="N41" t="str">
            <v/>
          </cell>
          <cell r="O41" t="str">
            <v/>
          </cell>
          <cell r="P41" t="str">
            <v/>
          </cell>
          <cell r="Q41" t="str">
            <v/>
          </cell>
          <cell r="R41" t="str">
            <v/>
          </cell>
          <cell r="S41" t="str">
            <v/>
          </cell>
          <cell r="T41" t="str">
            <v/>
          </cell>
          <cell r="U41" t="str">
            <v/>
          </cell>
          <cell r="V41" t="str">
            <v/>
          </cell>
          <cell r="W41" t="str">
            <v/>
          </cell>
          <cell r="X41" t="str">
            <v/>
          </cell>
          <cell r="Y41" t="str">
            <v/>
          </cell>
          <cell r="Z41" t="str">
            <v/>
          </cell>
          <cell r="AA41" t="str">
            <v/>
          </cell>
          <cell r="AB41" t="str">
            <v/>
          </cell>
          <cell r="AC41" t="str">
            <v/>
          </cell>
          <cell r="AD41" t="str">
            <v/>
          </cell>
          <cell r="AE41" t="str">
            <v/>
          </cell>
          <cell r="AF41" t="str">
            <v/>
          </cell>
          <cell r="AG41" t="str">
            <v/>
          </cell>
          <cell r="AH41">
            <v>1.3620000000000001</v>
          </cell>
          <cell r="AI41" t="str">
            <v/>
          </cell>
          <cell r="AJ41" t="str">
            <v/>
          </cell>
          <cell r="AK41" t="str">
            <v/>
          </cell>
          <cell r="AL41">
            <v>1.0409999999999999</v>
          </cell>
          <cell r="AM41" t="str">
            <v/>
          </cell>
          <cell r="AN41" t="str">
            <v/>
          </cell>
          <cell r="AO41">
            <v>0.91</v>
          </cell>
          <cell r="AP41" t="str">
            <v/>
          </cell>
          <cell r="AQ41" t="str">
            <v/>
          </cell>
          <cell r="AR41" t="str">
            <v/>
          </cell>
          <cell r="AS41" t="str">
            <v/>
          </cell>
          <cell r="AT41" t="str">
            <v/>
          </cell>
          <cell r="AU41" t="str">
            <v/>
          </cell>
          <cell r="AV41" t="str">
            <v/>
          </cell>
          <cell r="AW41" t="str">
            <v/>
          </cell>
          <cell r="AX41" t="str">
            <v/>
          </cell>
          <cell r="AY41" t="str">
            <v/>
          </cell>
          <cell r="AZ41" t="str">
            <v/>
          </cell>
          <cell r="BA41" t="str">
            <v/>
          </cell>
          <cell r="FO41" t="str">
            <v>NV</v>
          </cell>
          <cell r="FP41">
            <v>35</v>
          </cell>
        </row>
        <row r="42">
          <cell r="B42">
            <v>19</v>
          </cell>
          <cell r="C42" t="str">
            <v/>
          </cell>
          <cell r="D42" t="str">
            <v/>
          </cell>
          <cell r="E42" t="str">
            <v/>
          </cell>
          <cell r="F42" t="str">
            <v/>
          </cell>
          <cell r="G42">
            <v>1.0609999999999999</v>
          </cell>
          <cell r="H42" t="str">
            <v/>
          </cell>
          <cell r="I42" t="str">
            <v/>
          </cell>
          <cell r="J42" t="str">
            <v/>
          </cell>
          <cell r="K42" t="str">
            <v/>
          </cell>
          <cell r="L42" t="str">
            <v/>
          </cell>
          <cell r="M42" t="str">
            <v/>
          </cell>
          <cell r="N42" t="str">
            <v/>
          </cell>
          <cell r="O42" t="str">
            <v/>
          </cell>
          <cell r="P42" t="str">
            <v/>
          </cell>
          <cell r="Q42" t="str">
            <v/>
          </cell>
          <cell r="R42" t="str">
            <v/>
          </cell>
          <cell r="S42" t="str">
            <v/>
          </cell>
          <cell r="T42" t="str">
            <v/>
          </cell>
          <cell r="U42" t="str">
            <v/>
          </cell>
          <cell r="V42" t="str">
            <v/>
          </cell>
          <cell r="W42" t="str">
            <v/>
          </cell>
          <cell r="X42" t="str">
            <v/>
          </cell>
          <cell r="Y42" t="str">
            <v/>
          </cell>
          <cell r="Z42" t="str">
            <v/>
          </cell>
          <cell r="AA42" t="str">
            <v/>
          </cell>
          <cell r="AB42" t="str">
            <v/>
          </cell>
          <cell r="AC42" t="str">
            <v/>
          </cell>
          <cell r="AD42" t="str">
            <v/>
          </cell>
          <cell r="AE42" t="str">
            <v/>
          </cell>
          <cell r="AF42" t="str">
            <v/>
          </cell>
          <cell r="AG42" t="str">
            <v/>
          </cell>
          <cell r="AH42">
            <v>0.68899999999999995</v>
          </cell>
          <cell r="AI42" t="str">
            <v/>
          </cell>
          <cell r="AJ42" t="str">
            <v/>
          </cell>
          <cell r="AK42">
            <v>1.008</v>
          </cell>
          <cell r="AL42" t="str">
            <v/>
          </cell>
          <cell r="AM42" t="str">
            <v/>
          </cell>
          <cell r="AN42" t="str">
            <v/>
          </cell>
          <cell r="AO42">
            <v>1.0620000000000001</v>
          </cell>
          <cell r="AP42" t="str">
            <v/>
          </cell>
          <cell r="AQ42" t="str">
            <v/>
          </cell>
          <cell r="AR42" t="str">
            <v/>
          </cell>
          <cell r="AS42" t="str">
            <v/>
          </cell>
          <cell r="AT42" t="str">
            <v/>
          </cell>
          <cell r="AU42" t="str">
            <v/>
          </cell>
          <cell r="AV42" t="str">
            <v/>
          </cell>
          <cell r="AW42" t="str">
            <v/>
          </cell>
          <cell r="AX42" t="str">
            <v/>
          </cell>
          <cell r="AY42" t="str">
            <v/>
          </cell>
          <cell r="AZ42" t="str">
            <v/>
          </cell>
          <cell r="BA42" t="str">
            <v/>
          </cell>
          <cell r="FO42" t="str">
            <v>NY</v>
          </cell>
          <cell r="FP42">
            <v>36</v>
          </cell>
        </row>
        <row r="43">
          <cell r="B43">
            <v>20</v>
          </cell>
          <cell r="C43" t="str">
            <v/>
          </cell>
          <cell r="D43" t="str">
            <v/>
          </cell>
          <cell r="E43" t="str">
            <v/>
          </cell>
          <cell r="F43" t="str">
            <v/>
          </cell>
          <cell r="G43">
            <v>1.403</v>
          </cell>
          <cell r="H43" t="str">
            <v/>
          </cell>
          <cell r="I43" t="str">
            <v/>
          </cell>
          <cell r="J43" t="str">
            <v/>
          </cell>
          <cell r="K43" t="str">
            <v/>
          </cell>
          <cell r="L43" t="str">
            <v/>
          </cell>
          <cell r="M43" t="str">
            <v/>
          </cell>
          <cell r="N43" t="str">
            <v/>
          </cell>
          <cell r="O43" t="str">
            <v/>
          </cell>
          <cell r="P43" t="str">
            <v/>
          </cell>
          <cell r="Q43" t="str">
            <v/>
          </cell>
          <cell r="R43" t="str">
            <v/>
          </cell>
          <cell r="S43" t="str">
            <v/>
          </cell>
          <cell r="T43" t="str">
            <v/>
          </cell>
          <cell r="U43" t="str">
            <v/>
          </cell>
          <cell r="V43" t="str">
            <v/>
          </cell>
          <cell r="W43" t="str">
            <v/>
          </cell>
          <cell r="X43" t="str">
            <v/>
          </cell>
          <cell r="Y43" t="str">
            <v/>
          </cell>
          <cell r="Z43" t="str">
            <v/>
          </cell>
          <cell r="AA43" t="str">
            <v/>
          </cell>
          <cell r="AB43" t="str">
            <v/>
          </cell>
          <cell r="AC43" t="str">
            <v/>
          </cell>
          <cell r="AD43" t="str">
            <v/>
          </cell>
          <cell r="AE43" t="str">
            <v/>
          </cell>
          <cell r="AF43" t="str">
            <v/>
          </cell>
          <cell r="AG43" t="str">
            <v/>
          </cell>
          <cell r="AH43" t="str">
            <v/>
          </cell>
          <cell r="AI43" t="str">
            <v/>
          </cell>
          <cell r="AJ43" t="str">
            <v/>
          </cell>
          <cell r="AK43">
            <v>1.6060000000000001</v>
          </cell>
          <cell r="AL43" t="str">
            <v/>
          </cell>
          <cell r="AM43" t="str">
            <v/>
          </cell>
          <cell r="AN43" t="str">
            <v/>
          </cell>
          <cell r="AO43">
            <v>0.94599999999999995</v>
          </cell>
          <cell r="AP43" t="str">
            <v/>
          </cell>
          <cell r="AQ43" t="str">
            <v/>
          </cell>
          <cell r="AR43" t="str">
            <v/>
          </cell>
          <cell r="AS43" t="str">
            <v/>
          </cell>
          <cell r="AT43" t="str">
            <v/>
          </cell>
          <cell r="AU43" t="str">
            <v/>
          </cell>
          <cell r="AV43" t="str">
            <v/>
          </cell>
          <cell r="AW43" t="str">
            <v/>
          </cell>
          <cell r="AX43" t="str">
            <v/>
          </cell>
          <cell r="AY43" t="str">
            <v/>
          </cell>
          <cell r="AZ43" t="str">
            <v/>
          </cell>
          <cell r="BA43" t="str">
            <v/>
          </cell>
          <cell r="FO43" t="str">
            <v>OH</v>
          </cell>
          <cell r="FP43">
            <v>37</v>
          </cell>
        </row>
        <row r="44">
          <cell r="B44">
            <v>21</v>
          </cell>
          <cell r="C44" t="str">
            <v/>
          </cell>
          <cell r="D44" t="str">
            <v/>
          </cell>
          <cell r="E44" t="str">
            <v/>
          </cell>
          <cell r="F44" t="str">
            <v/>
          </cell>
          <cell r="G44">
            <v>1.3180000000000001</v>
          </cell>
          <cell r="H44" t="str">
            <v/>
          </cell>
          <cell r="I44" t="str">
            <v/>
          </cell>
          <cell r="J44" t="str">
            <v/>
          </cell>
          <cell r="K44" t="str">
            <v/>
          </cell>
          <cell r="L44" t="str">
            <v/>
          </cell>
          <cell r="M44" t="str">
            <v/>
          </cell>
          <cell r="N44" t="str">
            <v/>
          </cell>
          <cell r="O44" t="str">
            <v/>
          </cell>
          <cell r="P44" t="str">
            <v/>
          </cell>
          <cell r="Q44" t="str">
            <v/>
          </cell>
          <cell r="R44" t="str">
            <v/>
          </cell>
          <cell r="S44" t="str">
            <v/>
          </cell>
          <cell r="T44" t="str">
            <v/>
          </cell>
          <cell r="U44" t="str">
            <v/>
          </cell>
          <cell r="V44" t="str">
            <v/>
          </cell>
          <cell r="W44" t="str">
            <v/>
          </cell>
          <cell r="X44" t="str">
            <v/>
          </cell>
          <cell r="Y44" t="str">
            <v/>
          </cell>
          <cell r="Z44" t="str">
            <v/>
          </cell>
          <cell r="AA44" t="str">
            <v/>
          </cell>
          <cell r="AB44" t="str">
            <v/>
          </cell>
          <cell r="AC44" t="str">
            <v/>
          </cell>
          <cell r="AD44" t="str">
            <v/>
          </cell>
          <cell r="AE44" t="str">
            <v/>
          </cell>
          <cell r="AF44" t="str">
            <v/>
          </cell>
          <cell r="AG44" t="str">
            <v/>
          </cell>
          <cell r="AH44">
            <v>1.0640000000000001</v>
          </cell>
          <cell r="AI44" t="str">
            <v/>
          </cell>
          <cell r="AJ44" t="str">
            <v/>
          </cell>
          <cell r="AK44">
            <v>1.008</v>
          </cell>
          <cell r="AL44" t="str">
            <v/>
          </cell>
          <cell r="AM44" t="str">
            <v/>
          </cell>
          <cell r="AN44" t="str">
            <v/>
          </cell>
          <cell r="AO44" t="str">
            <v/>
          </cell>
          <cell r="AP44" t="str">
            <v/>
          </cell>
          <cell r="AQ44" t="str">
            <v/>
          </cell>
          <cell r="AR44" t="str">
            <v/>
          </cell>
          <cell r="AS44" t="str">
            <v/>
          </cell>
          <cell r="AT44" t="str">
            <v/>
          </cell>
          <cell r="AU44" t="str">
            <v/>
          </cell>
          <cell r="AV44" t="str">
            <v/>
          </cell>
          <cell r="AW44" t="str">
            <v/>
          </cell>
          <cell r="AX44" t="str">
            <v/>
          </cell>
          <cell r="AY44" t="str">
            <v/>
          </cell>
          <cell r="AZ44" t="str">
            <v/>
          </cell>
          <cell r="BA44" t="str">
            <v/>
          </cell>
          <cell r="FO44" t="str">
            <v>OK</v>
          </cell>
          <cell r="FP44">
            <v>38</v>
          </cell>
        </row>
        <row r="45">
          <cell r="B45">
            <v>22</v>
          </cell>
          <cell r="C45" t="str">
            <v/>
          </cell>
          <cell r="D45" t="str">
            <v/>
          </cell>
          <cell r="E45" t="str">
            <v/>
          </cell>
          <cell r="F45" t="str">
            <v/>
          </cell>
          <cell r="G45">
            <v>0.80600000000000005</v>
          </cell>
          <cell r="H45" t="str">
            <v/>
          </cell>
          <cell r="I45" t="str">
            <v/>
          </cell>
          <cell r="J45" t="str">
            <v/>
          </cell>
          <cell r="K45" t="str">
            <v/>
          </cell>
          <cell r="L45" t="str">
            <v/>
          </cell>
          <cell r="M45" t="str">
            <v/>
          </cell>
          <cell r="N45" t="str">
            <v/>
          </cell>
          <cell r="O45" t="str">
            <v/>
          </cell>
          <cell r="P45" t="str">
            <v/>
          </cell>
          <cell r="Q45" t="str">
            <v/>
          </cell>
          <cell r="R45" t="str">
            <v/>
          </cell>
          <cell r="S45" t="str">
            <v/>
          </cell>
          <cell r="T45" t="str">
            <v/>
          </cell>
          <cell r="U45" t="str">
            <v/>
          </cell>
          <cell r="V45" t="str">
            <v/>
          </cell>
          <cell r="W45" t="str">
            <v/>
          </cell>
          <cell r="X45" t="str">
            <v/>
          </cell>
          <cell r="Y45" t="str">
            <v/>
          </cell>
          <cell r="Z45" t="str">
            <v/>
          </cell>
          <cell r="AA45" t="str">
            <v/>
          </cell>
          <cell r="AB45" t="str">
            <v/>
          </cell>
          <cell r="AC45" t="str">
            <v/>
          </cell>
          <cell r="AD45" t="str">
            <v/>
          </cell>
          <cell r="AE45" t="str">
            <v/>
          </cell>
          <cell r="AF45" t="str">
            <v/>
          </cell>
          <cell r="AG45" t="str">
            <v/>
          </cell>
          <cell r="AH45">
            <v>2.1030000000000002</v>
          </cell>
          <cell r="AI45" t="str">
            <v/>
          </cell>
          <cell r="AJ45" t="str">
            <v/>
          </cell>
          <cell r="AK45" t="str">
            <v/>
          </cell>
          <cell r="AL45" t="str">
            <v/>
          </cell>
          <cell r="AM45" t="str">
            <v/>
          </cell>
          <cell r="AN45" t="str">
            <v/>
          </cell>
          <cell r="AO45" t="str">
            <v/>
          </cell>
          <cell r="AP45" t="str">
            <v/>
          </cell>
          <cell r="AQ45" t="str">
            <v/>
          </cell>
          <cell r="AR45" t="str">
            <v/>
          </cell>
          <cell r="AS45" t="str">
            <v/>
          </cell>
          <cell r="AT45" t="str">
            <v/>
          </cell>
          <cell r="AU45" t="str">
            <v/>
          </cell>
          <cell r="AV45" t="str">
            <v/>
          </cell>
          <cell r="AW45" t="str">
            <v/>
          </cell>
          <cell r="AX45" t="str">
            <v/>
          </cell>
          <cell r="AY45" t="str">
            <v/>
          </cell>
          <cell r="AZ45" t="str">
            <v/>
          </cell>
          <cell r="BA45" t="str">
            <v/>
          </cell>
          <cell r="FO45" t="str">
            <v>OR</v>
          </cell>
          <cell r="FP45">
            <v>39</v>
          </cell>
        </row>
        <row r="46">
          <cell r="B46">
            <v>23</v>
          </cell>
          <cell r="C46" t="str">
            <v/>
          </cell>
          <cell r="D46" t="str">
            <v/>
          </cell>
          <cell r="E46" t="str">
            <v/>
          </cell>
          <cell r="F46" t="str">
            <v/>
          </cell>
          <cell r="G46">
            <v>1.056</v>
          </cell>
          <cell r="H46" t="str">
            <v/>
          </cell>
          <cell r="I46" t="str">
            <v/>
          </cell>
          <cell r="J46" t="str">
            <v/>
          </cell>
          <cell r="K46" t="str">
            <v/>
          </cell>
          <cell r="L46" t="str">
            <v/>
          </cell>
          <cell r="M46" t="str">
            <v/>
          </cell>
          <cell r="N46" t="str">
            <v/>
          </cell>
          <cell r="O46" t="str">
            <v/>
          </cell>
          <cell r="P46" t="str">
            <v/>
          </cell>
          <cell r="Q46" t="str">
            <v/>
          </cell>
          <cell r="R46" t="str">
            <v/>
          </cell>
          <cell r="S46" t="str">
            <v/>
          </cell>
          <cell r="T46" t="str">
            <v/>
          </cell>
          <cell r="U46" t="str">
            <v/>
          </cell>
          <cell r="V46" t="str">
            <v/>
          </cell>
          <cell r="W46" t="str">
            <v/>
          </cell>
          <cell r="X46" t="str">
            <v/>
          </cell>
          <cell r="Y46" t="str">
            <v/>
          </cell>
          <cell r="Z46" t="str">
            <v/>
          </cell>
          <cell r="AA46" t="str">
            <v/>
          </cell>
          <cell r="AB46" t="str">
            <v/>
          </cell>
          <cell r="AC46" t="str">
            <v/>
          </cell>
          <cell r="AD46" t="str">
            <v/>
          </cell>
          <cell r="AE46" t="str">
            <v/>
          </cell>
          <cell r="AF46" t="str">
            <v/>
          </cell>
          <cell r="AG46" t="str">
            <v/>
          </cell>
          <cell r="AH46" t="str">
            <v/>
          </cell>
          <cell r="AI46" t="str">
            <v/>
          </cell>
          <cell r="AJ46" t="str">
            <v/>
          </cell>
          <cell r="AK46" t="str">
            <v/>
          </cell>
          <cell r="AL46" t="str">
            <v/>
          </cell>
          <cell r="AM46" t="str">
            <v/>
          </cell>
          <cell r="AN46" t="str">
            <v/>
          </cell>
          <cell r="AO46" t="str">
            <v/>
          </cell>
          <cell r="AP46" t="str">
            <v/>
          </cell>
          <cell r="AQ46" t="str">
            <v/>
          </cell>
          <cell r="AR46" t="str">
            <v/>
          </cell>
          <cell r="AS46" t="str">
            <v/>
          </cell>
          <cell r="AT46" t="str">
            <v/>
          </cell>
          <cell r="AU46" t="str">
            <v/>
          </cell>
          <cell r="AV46" t="str">
            <v/>
          </cell>
          <cell r="AW46" t="str">
            <v/>
          </cell>
          <cell r="AX46" t="str">
            <v/>
          </cell>
          <cell r="AY46" t="str">
            <v/>
          </cell>
          <cell r="AZ46" t="str">
            <v/>
          </cell>
          <cell r="BA46" t="str">
            <v/>
          </cell>
          <cell r="FO46" t="str">
            <v>PA</v>
          </cell>
          <cell r="FP46">
            <v>40</v>
          </cell>
        </row>
        <row r="47">
          <cell r="B47">
            <v>24</v>
          </cell>
          <cell r="C47" t="str">
            <v/>
          </cell>
          <cell r="D47" t="str">
            <v/>
          </cell>
          <cell r="E47" t="str">
            <v/>
          </cell>
          <cell r="F47" t="str">
            <v/>
          </cell>
          <cell r="G47">
            <v>0.91</v>
          </cell>
          <cell r="H47" t="str">
            <v/>
          </cell>
          <cell r="I47" t="str">
            <v/>
          </cell>
          <cell r="J47" t="str">
            <v/>
          </cell>
          <cell r="K47" t="str">
            <v/>
          </cell>
          <cell r="L47" t="str">
            <v/>
          </cell>
          <cell r="M47" t="str">
            <v/>
          </cell>
          <cell r="N47" t="str">
            <v/>
          </cell>
          <cell r="O47" t="str">
            <v/>
          </cell>
          <cell r="P47" t="str">
            <v/>
          </cell>
          <cell r="Q47" t="str">
            <v/>
          </cell>
          <cell r="R47" t="str">
            <v/>
          </cell>
          <cell r="S47" t="str">
            <v/>
          </cell>
          <cell r="T47" t="str">
            <v/>
          </cell>
          <cell r="U47" t="str">
            <v/>
          </cell>
          <cell r="V47" t="str">
            <v/>
          </cell>
          <cell r="W47" t="str">
            <v/>
          </cell>
          <cell r="X47" t="str">
            <v/>
          </cell>
          <cell r="Y47" t="str">
            <v/>
          </cell>
          <cell r="Z47" t="str">
            <v/>
          </cell>
          <cell r="AA47" t="str">
            <v/>
          </cell>
          <cell r="AB47" t="str">
            <v/>
          </cell>
          <cell r="AC47" t="str">
            <v/>
          </cell>
          <cell r="AD47" t="str">
            <v/>
          </cell>
          <cell r="AE47" t="str">
            <v/>
          </cell>
          <cell r="AF47" t="str">
            <v/>
          </cell>
          <cell r="AG47" t="str">
            <v/>
          </cell>
          <cell r="AH47" t="str">
            <v/>
          </cell>
          <cell r="AI47" t="str">
            <v/>
          </cell>
          <cell r="AJ47" t="str">
            <v/>
          </cell>
          <cell r="AK47" t="str">
            <v/>
          </cell>
          <cell r="AL47" t="str">
            <v/>
          </cell>
          <cell r="AM47" t="str">
            <v/>
          </cell>
          <cell r="AN47" t="str">
            <v/>
          </cell>
          <cell r="AO47" t="str">
            <v/>
          </cell>
          <cell r="AP47" t="str">
            <v/>
          </cell>
          <cell r="AQ47" t="str">
            <v/>
          </cell>
          <cell r="AR47" t="str">
            <v/>
          </cell>
          <cell r="AS47" t="str">
            <v/>
          </cell>
          <cell r="AT47" t="str">
            <v/>
          </cell>
          <cell r="AU47" t="str">
            <v/>
          </cell>
          <cell r="AV47" t="str">
            <v/>
          </cell>
          <cell r="AW47" t="str">
            <v/>
          </cell>
          <cell r="AX47" t="str">
            <v/>
          </cell>
          <cell r="AY47" t="str">
            <v/>
          </cell>
          <cell r="AZ47" t="str">
            <v/>
          </cell>
          <cell r="BA47" t="str">
            <v/>
          </cell>
          <cell r="FO47" t="str">
            <v>RI</v>
          </cell>
          <cell r="FP47">
            <v>41</v>
          </cell>
        </row>
        <row r="48">
          <cell r="B48">
            <v>25</v>
          </cell>
          <cell r="C48" t="str">
            <v/>
          </cell>
          <cell r="D48" t="str">
            <v/>
          </cell>
          <cell r="E48" t="str">
            <v/>
          </cell>
          <cell r="F48" t="str">
            <v/>
          </cell>
          <cell r="G48">
            <v>1.165</v>
          </cell>
          <cell r="H48" t="str">
            <v/>
          </cell>
          <cell r="I48" t="str">
            <v/>
          </cell>
          <cell r="J48" t="str">
            <v/>
          </cell>
          <cell r="K48" t="str">
            <v/>
          </cell>
          <cell r="L48" t="str">
            <v/>
          </cell>
          <cell r="M48" t="str">
            <v/>
          </cell>
          <cell r="N48" t="str">
            <v/>
          </cell>
          <cell r="O48" t="str">
            <v/>
          </cell>
          <cell r="P48" t="str">
            <v/>
          </cell>
          <cell r="Q48" t="str">
            <v/>
          </cell>
          <cell r="R48" t="str">
            <v/>
          </cell>
          <cell r="S48" t="str">
            <v/>
          </cell>
          <cell r="T48" t="str">
            <v/>
          </cell>
          <cell r="U48" t="str">
            <v/>
          </cell>
          <cell r="V48" t="str">
            <v/>
          </cell>
          <cell r="W48" t="str">
            <v/>
          </cell>
          <cell r="X48" t="str">
            <v/>
          </cell>
          <cell r="Y48" t="str">
            <v/>
          </cell>
          <cell r="Z48" t="str">
            <v/>
          </cell>
          <cell r="AA48" t="str">
            <v/>
          </cell>
          <cell r="AB48" t="str">
            <v/>
          </cell>
          <cell r="AC48" t="str">
            <v/>
          </cell>
          <cell r="AD48" t="str">
            <v/>
          </cell>
          <cell r="AE48" t="str">
            <v/>
          </cell>
          <cell r="AF48" t="str">
            <v/>
          </cell>
          <cell r="AG48" t="str">
            <v/>
          </cell>
          <cell r="AH48" t="str">
            <v/>
          </cell>
          <cell r="AI48" t="str">
            <v/>
          </cell>
          <cell r="AJ48" t="str">
            <v/>
          </cell>
          <cell r="AK48" t="str">
            <v/>
          </cell>
          <cell r="AL48" t="str">
            <v/>
          </cell>
          <cell r="AM48" t="str">
            <v/>
          </cell>
          <cell r="AN48" t="str">
            <v/>
          </cell>
          <cell r="AO48" t="str">
            <v/>
          </cell>
          <cell r="AP48" t="str">
            <v/>
          </cell>
          <cell r="AQ48" t="str">
            <v/>
          </cell>
          <cell r="AR48" t="str">
            <v/>
          </cell>
          <cell r="AS48" t="str">
            <v/>
          </cell>
          <cell r="AT48" t="str">
            <v/>
          </cell>
          <cell r="AU48" t="str">
            <v/>
          </cell>
          <cell r="AV48" t="str">
            <v/>
          </cell>
          <cell r="AW48" t="str">
            <v/>
          </cell>
          <cell r="AX48" t="str">
            <v/>
          </cell>
          <cell r="AY48" t="str">
            <v/>
          </cell>
          <cell r="AZ48" t="str">
            <v/>
          </cell>
          <cell r="BA48" t="str">
            <v/>
          </cell>
          <cell r="FO48" t="str">
            <v>SC</v>
          </cell>
          <cell r="FP48">
            <v>42</v>
          </cell>
        </row>
        <row r="49">
          <cell r="B49">
            <v>26</v>
          </cell>
          <cell r="C49" t="str">
            <v/>
          </cell>
          <cell r="D49" t="str">
            <v/>
          </cell>
          <cell r="E49" t="str">
            <v/>
          </cell>
          <cell r="F49" t="str">
            <v/>
          </cell>
          <cell r="G49">
            <v>0.78600000000000003</v>
          </cell>
          <cell r="H49" t="str">
            <v/>
          </cell>
          <cell r="I49" t="str">
            <v/>
          </cell>
          <cell r="J49" t="str">
            <v/>
          </cell>
          <cell r="K49" t="str">
            <v/>
          </cell>
          <cell r="L49" t="str">
            <v/>
          </cell>
          <cell r="M49" t="str">
            <v/>
          </cell>
          <cell r="N49" t="str">
            <v/>
          </cell>
          <cell r="O49" t="str">
            <v/>
          </cell>
          <cell r="P49" t="str">
            <v/>
          </cell>
          <cell r="Q49" t="str">
            <v/>
          </cell>
          <cell r="R49" t="str">
            <v/>
          </cell>
          <cell r="S49" t="str">
            <v/>
          </cell>
          <cell r="T49" t="str">
            <v/>
          </cell>
          <cell r="U49" t="str">
            <v/>
          </cell>
          <cell r="V49" t="str">
            <v/>
          </cell>
          <cell r="W49" t="str">
            <v/>
          </cell>
          <cell r="X49" t="str">
            <v/>
          </cell>
          <cell r="Y49" t="str">
            <v/>
          </cell>
          <cell r="Z49" t="str">
            <v/>
          </cell>
          <cell r="AA49" t="str">
            <v/>
          </cell>
          <cell r="AB49" t="str">
            <v/>
          </cell>
          <cell r="AC49" t="str">
            <v/>
          </cell>
          <cell r="AD49" t="str">
            <v/>
          </cell>
          <cell r="AE49" t="str">
            <v/>
          </cell>
          <cell r="AF49" t="str">
            <v/>
          </cell>
          <cell r="AG49" t="str">
            <v/>
          </cell>
          <cell r="AH49" t="str">
            <v/>
          </cell>
          <cell r="AI49" t="str">
            <v/>
          </cell>
          <cell r="AJ49" t="str">
            <v/>
          </cell>
          <cell r="AK49" t="str">
            <v/>
          </cell>
          <cell r="AL49" t="str">
            <v/>
          </cell>
          <cell r="AM49" t="str">
            <v/>
          </cell>
          <cell r="AN49" t="str">
            <v/>
          </cell>
          <cell r="AO49" t="str">
            <v/>
          </cell>
          <cell r="AP49" t="str">
            <v/>
          </cell>
          <cell r="AQ49" t="str">
            <v/>
          </cell>
          <cell r="AR49" t="str">
            <v/>
          </cell>
          <cell r="AS49" t="str">
            <v/>
          </cell>
          <cell r="AT49" t="str">
            <v/>
          </cell>
          <cell r="AU49" t="str">
            <v/>
          </cell>
          <cell r="AV49" t="str">
            <v/>
          </cell>
          <cell r="AW49" t="str">
            <v/>
          </cell>
          <cell r="AX49" t="str">
            <v/>
          </cell>
          <cell r="AY49" t="str">
            <v/>
          </cell>
          <cell r="AZ49" t="str">
            <v/>
          </cell>
          <cell r="BA49" t="str">
            <v/>
          </cell>
          <cell r="FO49" t="str">
            <v>SD</v>
          </cell>
          <cell r="FP49">
            <v>43</v>
          </cell>
        </row>
        <row r="50">
          <cell r="B50">
            <v>27</v>
          </cell>
          <cell r="C50" t="str">
            <v/>
          </cell>
          <cell r="D50" t="str">
            <v/>
          </cell>
          <cell r="E50" t="str">
            <v/>
          </cell>
          <cell r="F50" t="str">
            <v/>
          </cell>
          <cell r="G50">
            <v>0.84799999999999998</v>
          </cell>
          <cell r="H50" t="str">
            <v/>
          </cell>
          <cell r="I50" t="str">
            <v/>
          </cell>
          <cell r="J50" t="str">
            <v/>
          </cell>
          <cell r="K50" t="str">
            <v/>
          </cell>
          <cell r="L50" t="str">
            <v/>
          </cell>
          <cell r="M50" t="str">
            <v/>
          </cell>
          <cell r="N50" t="str">
            <v/>
          </cell>
          <cell r="O50" t="str">
            <v/>
          </cell>
          <cell r="P50" t="str">
            <v/>
          </cell>
          <cell r="Q50" t="str">
            <v/>
          </cell>
          <cell r="R50" t="str">
            <v/>
          </cell>
          <cell r="S50" t="str">
            <v/>
          </cell>
          <cell r="T50" t="str">
            <v/>
          </cell>
          <cell r="U50" t="str">
            <v/>
          </cell>
          <cell r="V50" t="str">
            <v/>
          </cell>
          <cell r="W50" t="str">
            <v/>
          </cell>
          <cell r="X50" t="str">
            <v/>
          </cell>
          <cell r="Y50" t="str">
            <v/>
          </cell>
          <cell r="Z50" t="str">
            <v/>
          </cell>
          <cell r="AA50" t="str">
            <v/>
          </cell>
          <cell r="AB50" t="str">
            <v/>
          </cell>
          <cell r="AC50" t="str">
            <v/>
          </cell>
          <cell r="AD50" t="str">
            <v/>
          </cell>
          <cell r="AE50" t="str">
            <v/>
          </cell>
          <cell r="AF50" t="str">
            <v/>
          </cell>
          <cell r="AG50" t="str">
            <v/>
          </cell>
          <cell r="AH50" t="str">
            <v/>
          </cell>
          <cell r="AI50" t="str">
            <v/>
          </cell>
          <cell r="AJ50" t="str">
            <v/>
          </cell>
          <cell r="AK50">
            <v>1.0629999999999999</v>
          </cell>
          <cell r="AL50" t="str">
            <v/>
          </cell>
          <cell r="AM50" t="str">
            <v/>
          </cell>
          <cell r="AN50" t="str">
            <v/>
          </cell>
          <cell r="AO50" t="str">
            <v/>
          </cell>
          <cell r="AP50" t="str">
            <v/>
          </cell>
          <cell r="AQ50" t="str">
            <v/>
          </cell>
          <cell r="AR50" t="str">
            <v/>
          </cell>
          <cell r="AS50" t="str">
            <v/>
          </cell>
          <cell r="AT50" t="str">
            <v/>
          </cell>
          <cell r="AU50" t="str">
            <v/>
          </cell>
          <cell r="AV50" t="str">
            <v/>
          </cell>
          <cell r="AW50" t="str">
            <v/>
          </cell>
          <cell r="AX50" t="str">
            <v/>
          </cell>
          <cell r="AY50" t="str">
            <v/>
          </cell>
          <cell r="AZ50" t="str">
            <v/>
          </cell>
          <cell r="BA50" t="str">
            <v/>
          </cell>
          <cell r="FO50" t="str">
            <v>TN</v>
          </cell>
          <cell r="FP50">
            <v>44</v>
          </cell>
        </row>
        <row r="51">
          <cell r="B51">
            <v>28</v>
          </cell>
          <cell r="C51" t="str">
            <v/>
          </cell>
          <cell r="D51" t="str">
            <v/>
          </cell>
          <cell r="E51" t="str">
            <v/>
          </cell>
          <cell r="F51" t="str">
            <v/>
          </cell>
          <cell r="G51">
            <v>0.77900000000000003</v>
          </cell>
          <cell r="H51" t="str">
            <v/>
          </cell>
          <cell r="I51" t="str">
            <v/>
          </cell>
          <cell r="J51" t="str">
            <v/>
          </cell>
          <cell r="K51" t="str">
            <v/>
          </cell>
          <cell r="L51" t="str">
            <v/>
          </cell>
          <cell r="M51" t="str">
            <v/>
          </cell>
          <cell r="N51" t="str">
            <v/>
          </cell>
          <cell r="O51" t="str">
            <v/>
          </cell>
          <cell r="P51" t="str">
            <v/>
          </cell>
          <cell r="Q51" t="str">
            <v/>
          </cell>
          <cell r="R51" t="str">
            <v/>
          </cell>
          <cell r="S51" t="str">
            <v/>
          </cell>
          <cell r="T51" t="str">
            <v/>
          </cell>
          <cell r="U51" t="str">
            <v/>
          </cell>
          <cell r="V51" t="str">
            <v/>
          </cell>
          <cell r="W51" t="str">
            <v/>
          </cell>
          <cell r="X51" t="str">
            <v/>
          </cell>
          <cell r="Y51" t="str">
            <v/>
          </cell>
          <cell r="Z51" t="str">
            <v/>
          </cell>
          <cell r="AA51" t="str">
            <v/>
          </cell>
          <cell r="AB51" t="str">
            <v/>
          </cell>
          <cell r="AC51" t="str">
            <v/>
          </cell>
          <cell r="AD51" t="str">
            <v/>
          </cell>
          <cell r="AE51" t="str">
            <v/>
          </cell>
          <cell r="AF51" t="str">
            <v/>
          </cell>
          <cell r="AG51" t="str">
            <v/>
          </cell>
          <cell r="AH51" t="str">
            <v/>
          </cell>
          <cell r="AI51" t="str">
            <v/>
          </cell>
          <cell r="AJ51" t="str">
            <v/>
          </cell>
          <cell r="AK51">
            <v>1.151</v>
          </cell>
          <cell r="AL51" t="str">
            <v/>
          </cell>
          <cell r="AM51" t="str">
            <v/>
          </cell>
          <cell r="AN51" t="str">
            <v/>
          </cell>
          <cell r="AO51" t="str">
            <v/>
          </cell>
          <cell r="AP51" t="str">
            <v/>
          </cell>
          <cell r="AQ51" t="str">
            <v/>
          </cell>
          <cell r="AR51" t="str">
            <v/>
          </cell>
          <cell r="AS51" t="str">
            <v/>
          </cell>
          <cell r="AT51" t="str">
            <v/>
          </cell>
          <cell r="AU51" t="str">
            <v/>
          </cell>
          <cell r="AV51" t="str">
            <v/>
          </cell>
          <cell r="AW51" t="str">
            <v/>
          </cell>
          <cell r="AX51" t="str">
            <v/>
          </cell>
          <cell r="AY51" t="str">
            <v/>
          </cell>
          <cell r="AZ51" t="str">
            <v/>
          </cell>
          <cell r="BA51" t="str">
            <v/>
          </cell>
          <cell r="FO51" t="str">
            <v>TX</v>
          </cell>
          <cell r="FP51">
            <v>45</v>
          </cell>
        </row>
        <row r="52">
          <cell r="B52">
            <v>29</v>
          </cell>
          <cell r="C52" t="str">
            <v/>
          </cell>
          <cell r="D52" t="str">
            <v/>
          </cell>
          <cell r="E52" t="str">
            <v/>
          </cell>
          <cell r="F52" t="str">
            <v/>
          </cell>
          <cell r="G52">
            <v>0.86899999999999999</v>
          </cell>
          <cell r="H52" t="str">
            <v/>
          </cell>
          <cell r="I52" t="str">
            <v/>
          </cell>
          <cell r="J52" t="str">
            <v/>
          </cell>
          <cell r="K52" t="str">
            <v/>
          </cell>
          <cell r="L52" t="str">
            <v/>
          </cell>
          <cell r="M52" t="str">
            <v/>
          </cell>
          <cell r="N52" t="str">
            <v/>
          </cell>
          <cell r="O52" t="str">
            <v/>
          </cell>
          <cell r="P52" t="str">
            <v/>
          </cell>
          <cell r="Q52" t="str">
            <v/>
          </cell>
          <cell r="R52" t="str">
            <v/>
          </cell>
          <cell r="S52" t="str">
            <v/>
          </cell>
          <cell r="T52" t="str">
            <v/>
          </cell>
          <cell r="U52" t="str">
            <v/>
          </cell>
          <cell r="V52" t="str">
            <v/>
          </cell>
          <cell r="W52" t="str">
            <v/>
          </cell>
          <cell r="X52" t="str">
            <v/>
          </cell>
          <cell r="Y52" t="str">
            <v/>
          </cell>
          <cell r="Z52" t="str">
            <v/>
          </cell>
          <cell r="AA52" t="str">
            <v/>
          </cell>
          <cell r="AB52" t="str">
            <v/>
          </cell>
          <cell r="AC52" t="str">
            <v/>
          </cell>
          <cell r="AD52" t="str">
            <v/>
          </cell>
          <cell r="AE52" t="str">
            <v/>
          </cell>
          <cell r="AF52" t="str">
            <v/>
          </cell>
          <cell r="AG52" t="str">
            <v/>
          </cell>
          <cell r="AH52" t="str">
            <v/>
          </cell>
          <cell r="AI52" t="str">
            <v/>
          </cell>
          <cell r="AJ52" t="str">
            <v/>
          </cell>
          <cell r="AK52">
            <v>1.151</v>
          </cell>
          <cell r="AL52" t="str">
            <v/>
          </cell>
          <cell r="AM52" t="str">
            <v/>
          </cell>
          <cell r="AN52" t="str">
            <v/>
          </cell>
          <cell r="AO52" t="str">
            <v/>
          </cell>
          <cell r="AP52" t="str">
            <v/>
          </cell>
          <cell r="AQ52" t="str">
            <v/>
          </cell>
          <cell r="AR52" t="str">
            <v/>
          </cell>
          <cell r="AS52" t="str">
            <v/>
          </cell>
          <cell r="AT52" t="str">
            <v/>
          </cell>
          <cell r="AU52" t="str">
            <v/>
          </cell>
          <cell r="AV52" t="str">
            <v/>
          </cell>
          <cell r="AW52" t="str">
            <v/>
          </cell>
          <cell r="AX52" t="str">
            <v/>
          </cell>
          <cell r="AY52" t="str">
            <v/>
          </cell>
          <cell r="AZ52" t="str">
            <v/>
          </cell>
          <cell r="BA52" t="str">
            <v/>
          </cell>
          <cell r="FO52" t="str">
            <v>UT</v>
          </cell>
          <cell r="FP52">
            <v>46</v>
          </cell>
        </row>
        <row r="53">
          <cell r="B53">
            <v>30</v>
          </cell>
          <cell r="C53" t="str">
            <v/>
          </cell>
          <cell r="D53" t="str">
            <v/>
          </cell>
          <cell r="E53" t="str">
            <v/>
          </cell>
          <cell r="F53" t="str">
            <v/>
          </cell>
          <cell r="G53">
            <v>1.0089999999999999</v>
          </cell>
          <cell r="H53" t="str">
            <v/>
          </cell>
          <cell r="I53" t="str">
            <v/>
          </cell>
          <cell r="J53" t="str">
            <v/>
          </cell>
          <cell r="K53" t="str">
            <v/>
          </cell>
          <cell r="L53" t="str">
            <v/>
          </cell>
          <cell r="M53" t="str">
            <v/>
          </cell>
          <cell r="N53" t="str">
            <v/>
          </cell>
          <cell r="O53" t="str">
            <v/>
          </cell>
          <cell r="P53" t="str">
            <v/>
          </cell>
          <cell r="Q53" t="str">
            <v/>
          </cell>
          <cell r="R53" t="str">
            <v/>
          </cell>
          <cell r="S53" t="str">
            <v/>
          </cell>
          <cell r="T53" t="str">
            <v/>
          </cell>
          <cell r="U53" t="str">
            <v/>
          </cell>
          <cell r="V53" t="str">
            <v/>
          </cell>
          <cell r="W53" t="str">
            <v/>
          </cell>
          <cell r="X53" t="str">
            <v/>
          </cell>
          <cell r="Y53" t="str">
            <v/>
          </cell>
          <cell r="Z53" t="str">
            <v/>
          </cell>
          <cell r="AA53" t="str">
            <v/>
          </cell>
          <cell r="AB53" t="str">
            <v/>
          </cell>
          <cell r="AC53" t="str">
            <v/>
          </cell>
          <cell r="AD53" t="str">
            <v/>
          </cell>
          <cell r="AE53" t="str">
            <v/>
          </cell>
          <cell r="AF53" t="str">
            <v/>
          </cell>
          <cell r="AG53" t="str">
            <v/>
          </cell>
          <cell r="AH53" t="str">
            <v/>
          </cell>
          <cell r="AI53" t="str">
            <v/>
          </cell>
          <cell r="AJ53" t="str">
            <v/>
          </cell>
          <cell r="AK53">
            <v>0.97599999999999998</v>
          </cell>
          <cell r="AL53" t="str">
            <v/>
          </cell>
          <cell r="AM53" t="str">
            <v/>
          </cell>
          <cell r="AN53" t="str">
            <v/>
          </cell>
          <cell r="AO53" t="str">
            <v/>
          </cell>
          <cell r="AP53" t="str">
            <v/>
          </cell>
          <cell r="AQ53" t="str">
            <v/>
          </cell>
          <cell r="AR53" t="str">
            <v/>
          </cell>
          <cell r="AS53" t="str">
            <v/>
          </cell>
          <cell r="AT53" t="str">
            <v/>
          </cell>
          <cell r="AU53" t="str">
            <v/>
          </cell>
          <cell r="AV53" t="str">
            <v/>
          </cell>
          <cell r="AW53" t="str">
            <v/>
          </cell>
          <cell r="AX53" t="str">
            <v/>
          </cell>
          <cell r="AY53" t="str">
            <v/>
          </cell>
          <cell r="AZ53" t="str">
            <v/>
          </cell>
          <cell r="BA53" t="str">
            <v/>
          </cell>
          <cell r="FO53" t="str">
            <v>VA</v>
          </cell>
          <cell r="FP53">
            <v>47</v>
          </cell>
        </row>
        <row r="54">
          <cell r="B54">
            <v>31</v>
          </cell>
          <cell r="C54" t="str">
            <v/>
          </cell>
          <cell r="D54" t="str">
            <v/>
          </cell>
          <cell r="E54" t="str">
            <v/>
          </cell>
          <cell r="F54" t="str">
            <v/>
          </cell>
          <cell r="G54">
            <v>0.83399999999999996</v>
          </cell>
          <cell r="H54" t="str">
            <v/>
          </cell>
          <cell r="I54" t="str">
            <v/>
          </cell>
          <cell r="J54" t="str">
            <v/>
          </cell>
          <cell r="K54" t="str">
            <v/>
          </cell>
          <cell r="L54" t="str">
            <v/>
          </cell>
          <cell r="M54" t="str">
            <v/>
          </cell>
          <cell r="N54" t="str">
            <v/>
          </cell>
          <cell r="O54" t="str">
            <v/>
          </cell>
          <cell r="P54" t="str">
            <v/>
          </cell>
          <cell r="Q54" t="str">
            <v/>
          </cell>
          <cell r="R54" t="str">
            <v/>
          </cell>
          <cell r="S54" t="str">
            <v/>
          </cell>
          <cell r="T54" t="str">
            <v/>
          </cell>
          <cell r="U54" t="str">
            <v/>
          </cell>
          <cell r="V54" t="str">
            <v/>
          </cell>
          <cell r="W54" t="str">
            <v/>
          </cell>
          <cell r="X54" t="str">
            <v/>
          </cell>
          <cell r="Y54" t="str">
            <v/>
          </cell>
          <cell r="Z54" t="str">
            <v/>
          </cell>
          <cell r="AA54" t="str">
            <v/>
          </cell>
          <cell r="AB54" t="str">
            <v/>
          </cell>
          <cell r="AC54" t="str">
            <v/>
          </cell>
          <cell r="AD54" t="str">
            <v/>
          </cell>
          <cell r="AE54" t="str">
            <v/>
          </cell>
          <cell r="AF54" t="str">
            <v/>
          </cell>
          <cell r="AG54" t="str">
            <v/>
          </cell>
          <cell r="AH54" t="str">
            <v/>
          </cell>
          <cell r="AI54" t="str">
            <v/>
          </cell>
          <cell r="AJ54" t="str">
            <v/>
          </cell>
          <cell r="AK54">
            <v>0.77900000000000003</v>
          </cell>
          <cell r="AL54" t="str">
            <v/>
          </cell>
          <cell r="AM54" t="str">
            <v/>
          </cell>
          <cell r="AN54" t="str">
            <v/>
          </cell>
          <cell r="AO54" t="str">
            <v/>
          </cell>
          <cell r="AP54" t="str">
            <v/>
          </cell>
          <cell r="AQ54" t="str">
            <v/>
          </cell>
          <cell r="AR54" t="str">
            <v/>
          </cell>
          <cell r="AS54" t="str">
            <v/>
          </cell>
          <cell r="AT54" t="str">
            <v/>
          </cell>
          <cell r="AU54" t="str">
            <v/>
          </cell>
          <cell r="AV54" t="str">
            <v/>
          </cell>
          <cell r="AW54" t="str">
            <v/>
          </cell>
          <cell r="AX54" t="str">
            <v/>
          </cell>
          <cell r="AY54" t="str">
            <v/>
          </cell>
          <cell r="AZ54" t="str">
            <v/>
          </cell>
          <cell r="BA54" t="str">
            <v/>
          </cell>
          <cell r="FO54" t="str">
            <v>VT</v>
          </cell>
          <cell r="FP54">
            <v>48</v>
          </cell>
        </row>
        <row r="55">
          <cell r="B55">
            <v>32</v>
          </cell>
          <cell r="C55" t="str">
            <v/>
          </cell>
          <cell r="D55" t="str">
            <v/>
          </cell>
          <cell r="E55" t="str">
            <v/>
          </cell>
          <cell r="F55" t="str">
            <v/>
          </cell>
          <cell r="G55" t="str">
            <v/>
          </cell>
          <cell r="H55" t="str">
            <v/>
          </cell>
          <cell r="I55" t="str">
            <v/>
          </cell>
          <cell r="J55" t="str">
            <v/>
          </cell>
          <cell r="K55" t="str">
            <v/>
          </cell>
          <cell r="L55" t="str">
            <v/>
          </cell>
          <cell r="M55" t="str">
            <v/>
          </cell>
          <cell r="N55" t="str">
            <v/>
          </cell>
          <cell r="O55" t="str">
            <v/>
          </cell>
          <cell r="P55" t="str">
            <v/>
          </cell>
          <cell r="Q55" t="str">
            <v/>
          </cell>
          <cell r="R55" t="str">
            <v/>
          </cell>
          <cell r="S55" t="str">
            <v/>
          </cell>
          <cell r="T55" t="str">
            <v/>
          </cell>
          <cell r="U55" t="str">
            <v/>
          </cell>
          <cell r="V55" t="str">
            <v/>
          </cell>
          <cell r="W55" t="str">
            <v/>
          </cell>
          <cell r="X55" t="str">
            <v/>
          </cell>
          <cell r="Y55" t="str">
            <v/>
          </cell>
          <cell r="Z55" t="str">
            <v/>
          </cell>
          <cell r="AA55" t="str">
            <v/>
          </cell>
          <cell r="AB55" t="str">
            <v/>
          </cell>
          <cell r="AC55" t="str">
            <v/>
          </cell>
          <cell r="AD55" t="str">
            <v/>
          </cell>
          <cell r="AE55" t="str">
            <v/>
          </cell>
          <cell r="AF55" t="str">
            <v/>
          </cell>
          <cell r="AG55" t="str">
            <v/>
          </cell>
          <cell r="AH55" t="str">
            <v/>
          </cell>
          <cell r="AI55" t="str">
            <v/>
          </cell>
          <cell r="AJ55" t="str">
            <v/>
          </cell>
          <cell r="AK55">
            <v>0.80400000000000005</v>
          </cell>
          <cell r="AL55" t="str">
            <v/>
          </cell>
          <cell r="AM55" t="str">
            <v/>
          </cell>
          <cell r="AN55" t="str">
            <v/>
          </cell>
          <cell r="AO55" t="str">
            <v/>
          </cell>
          <cell r="AP55" t="str">
            <v/>
          </cell>
          <cell r="AQ55" t="str">
            <v/>
          </cell>
          <cell r="AR55" t="str">
            <v/>
          </cell>
          <cell r="AS55" t="str">
            <v/>
          </cell>
          <cell r="AT55" t="str">
            <v/>
          </cell>
          <cell r="AU55" t="str">
            <v/>
          </cell>
          <cell r="AV55" t="str">
            <v/>
          </cell>
          <cell r="AW55" t="str">
            <v/>
          </cell>
          <cell r="AX55" t="str">
            <v/>
          </cell>
          <cell r="AY55" t="str">
            <v/>
          </cell>
          <cell r="AZ55" t="str">
            <v/>
          </cell>
          <cell r="BA55" t="str">
            <v/>
          </cell>
          <cell r="FO55" t="str">
            <v>WA</v>
          </cell>
          <cell r="FP55">
            <v>49</v>
          </cell>
        </row>
        <row r="56">
          <cell r="B56">
            <v>33</v>
          </cell>
          <cell r="C56" t="str">
            <v/>
          </cell>
          <cell r="D56" t="str">
            <v/>
          </cell>
          <cell r="E56" t="str">
            <v/>
          </cell>
          <cell r="F56" t="str">
            <v/>
          </cell>
          <cell r="G56" t="str">
            <v/>
          </cell>
          <cell r="H56" t="str">
            <v/>
          </cell>
          <cell r="I56" t="str">
            <v/>
          </cell>
          <cell r="J56" t="str">
            <v/>
          </cell>
          <cell r="K56" t="str">
            <v/>
          </cell>
          <cell r="L56" t="str">
            <v/>
          </cell>
          <cell r="M56" t="str">
            <v/>
          </cell>
          <cell r="N56" t="str">
            <v/>
          </cell>
          <cell r="O56" t="str">
            <v/>
          </cell>
          <cell r="P56" t="str">
            <v/>
          </cell>
          <cell r="Q56" t="str">
            <v/>
          </cell>
          <cell r="R56" t="str">
            <v/>
          </cell>
          <cell r="S56" t="str">
            <v/>
          </cell>
          <cell r="T56" t="str">
            <v/>
          </cell>
          <cell r="U56" t="str">
            <v/>
          </cell>
          <cell r="V56" t="str">
            <v/>
          </cell>
          <cell r="W56" t="str">
            <v/>
          </cell>
          <cell r="X56" t="str">
            <v/>
          </cell>
          <cell r="Y56" t="str">
            <v/>
          </cell>
          <cell r="Z56" t="str">
            <v/>
          </cell>
          <cell r="AA56" t="str">
            <v/>
          </cell>
          <cell r="AB56" t="str">
            <v/>
          </cell>
          <cell r="AC56" t="str">
            <v/>
          </cell>
          <cell r="AD56" t="str">
            <v/>
          </cell>
          <cell r="AE56" t="str">
            <v/>
          </cell>
          <cell r="AF56" t="str">
            <v/>
          </cell>
          <cell r="AG56" t="str">
            <v/>
          </cell>
          <cell r="AH56" t="str">
            <v/>
          </cell>
          <cell r="AI56" t="str">
            <v/>
          </cell>
          <cell r="AJ56" t="str">
            <v/>
          </cell>
          <cell r="AK56">
            <v>0.86199999999999999</v>
          </cell>
          <cell r="AL56" t="str">
            <v/>
          </cell>
          <cell r="AM56" t="str">
            <v/>
          </cell>
          <cell r="AN56" t="str">
            <v/>
          </cell>
          <cell r="AO56" t="str">
            <v/>
          </cell>
          <cell r="AP56" t="str">
            <v/>
          </cell>
          <cell r="AQ56" t="str">
            <v/>
          </cell>
          <cell r="AR56" t="str">
            <v/>
          </cell>
          <cell r="AS56" t="str">
            <v/>
          </cell>
          <cell r="AT56" t="str">
            <v/>
          </cell>
          <cell r="AU56" t="str">
            <v/>
          </cell>
          <cell r="AV56" t="str">
            <v/>
          </cell>
          <cell r="AW56" t="str">
            <v/>
          </cell>
          <cell r="AX56" t="str">
            <v/>
          </cell>
          <cell r="AY56" t="str">
            <v/>
          </cell>
          <cell r="AZ56" t="str">
            <v/>
          </cell>
          <cell r="BA56" t="str">
            <v/>
          </cell>
          <cell r="FO56" t="str">
            <v>WI</v>
          </cell>
          <cell r="FP56">
            <v>50</v>
          </cell>
        </row>
        <row r="57">
          <cell r="B57">
            <v>34</v>
          </cell>
          <cell r="C57" t="str">
            <v/>
          </cell>
          <cell r="D57" t="str">
            <v/>
          </cell>
          <cell r="E57" t="str">
            <v/>
          </cell>
          <cell r="F57" t="str">
            <v/>
          </cell>
          <cell r="G57" t="str">
            <v/>
          </cell>
          <cell r="H57" t="str">
            <v/>
          </cell>
          <cell r="I57" t="str">
            <v/>
          </cell>
          <cell r="J57" t="str">
            <v/>
          </cell>
          <cell r="K57" t="str">
            <v/>
          </cell>
          <cell r="L57" t="str">
            <v/>
          </cell>
          <cell r="M57" t="str">
            <v/>
          </cell>
          <cell r="N57" t="str">
            <v/>
          </cell>
          <cell r="O57" t="str">
            <v/>
          </cell>
          <cell r="P57" t="str">
            <v/>
          </cell>
          <cell r="Q57" t="str">
            <v/>
          </cell>
          <cell r="R57" t="str">
            <v/>
          </cell>
          <cell r="S57" t="str">
            <v/>
          </cell>
          <cell r="T57" t="str">
            <v/>
          </cell>
          <cell r="U57" t="str">
            <v/>
          </cell>
          <cell r="V57" t="str">
            <v/>
          </cell>
          <cell r="W57" t="str">
            <v/>
          </cell>
          <cell r="X57" t="str">
            <v/>
          </cell>
          <cell r="Y57" t="str">
            <v/>
          </cell>
          <cell r="Z57" t="str">
            <v/>
          </cell>
          <cell r="AA57" t="str">
            <v/>
          </cell>
          <cell r="AB57" t="str">
            <v/>
          </cell>
          <cell r="AC57" t="str">
            <v/>
          </cell>
          <cell r="AD57" t="str">
            <v/>
          </cell>
          <cell r="AE57" t="str">
            <v/>
          </cell>
          <cell r="AF57" t="str">
            <v/>
          </cell>
          <cell r="AG57" t="str">
            <v/>
          </cell>
          <cell r="AH57" t="str">
            <v/>
          </cell>
          <cell r="AI57" t="str">
            <v/>
          </cell>
          <cell r="AJ57" t="str">
            <v/>
          </cell>
          <cell r="AK57">
            <v>1.228</v>
          </cell>
          <cell r="AL57" t="str">
            <v/>
          </cell>
          <cell r="AM57" t="str">
            <v/>
          </cell>
          <cell r="AN57" t="str">
            <v/>
          </cell>
          <cell r="AO57" t="str">
            <v/>
          </cell>
          <cell r="AP57" t="str">
            <v/>
          </cell>
          <cell r="AQ57" t="str">
            <v/>
          </cell>
          <cell r="AR57" t="str">
            <v/>
          </cell>
          <cell r="AS57" t="str">
            <v/>
          </cell>
          <cell r="AT57" t="str">
            <v/>
          </cell>
          <cell r="AU57" t="str">
            <v/>
          </cell>
          <cell r="AV57" t="str">
            <v/>
          </cell>
          <cell r="AW57" t="str">
            <v/>
          </cell>
          <cell r="AX57" t="str">
            <v/>
          </cell>
          <cell r="AY57" t="str">
            <v/>
          </cell>
          <cell r="AZ57" t="str">
            <v/>
          </cell>
          <cell r="BA57" t="str">
            <v/>
          </cell>
          <cell r="FO57" t="str">
            <v>WV</v>
          </cell>
          <cell r="FP57">
            <v>51</v>
          </cell>
        </row>
        <row r="58">
          <cell r="B58">
            <v>35</v>
          </cell>
          <cell r="C58" t="str">
            <v/>
          </cell>
          <cell r="D58" t="str">
            <v/>
          </cell>
          <cell r="E58" t="str">
            <v/>
          </cell>
          <cell r="F58" t="str">
            <v/>
          </cell>
          <cell r="G58" t="str">
            <v/>
          </cell>
          <cell r="H58" t="str">
            <v/>
          </cell>
          <cell r="I58" t="str">
            <v/>
          </cell>
          <cell r="J58" t="str">
            <v/>
          </cell>
          <cell r="K58" t="str">
            <v/>
          </cell>
          <cell r="L58" t="str">
            <v/>
          </cell>
          <cell r="M58" t="str">
            <v/>
          </cell>
          <cell r="N58" t="str">
            <v/>
          </cell>
          <cell r="O58" t="str">
            <v/>
          </cell>
          <cell r="P58" t="str">
            <v/>
          </cell>
          <cell r="Q58" t="str">
            <v/>
          </cell>
          <cell r="R58" t="str">
            <v/>
          </cell>
          <cell r="S58" t="str">
            <v/>
          </cell>
          <cell r="T58" t="str">
            <v/>
          </cell>
          <cell r="U58" t="str">
            <v/>
          </cell>
          <cell r="V58" t="str">
            <v/>
          </cell>
          <cell r="W58" t="str">
            <v/>
          </cell>
          <cell r="X58" t="str">
            <v/>
          </cell>
          <cell r="Y58" t="str">
            <v/>
          </cell>
          <cell r="Z58" t="str">
            <v/>
          </cell>
          <cell r="AA58" t="str">
            <v/>
          </cell>
          <cell r="AB58" t="str">
            <v/>
          </cell>
          <cell r="AC58" t="str">
            <v/>
          </cell>
          <cell r="AD58" t="str">
            <v/>
          </cell>
          <cell r="AE58" t="str">
            <v/>
          </cell>
          <cell r="AF58" t="str">
            <v/>
          </cell>
          <cell r="AG58" t="str">
            <v/>
          </cell>
          <cell r="AH58" t="str">
            <v/>
          </cell>
          <cell r="AI58" t="str">
            <v/>
          </cell>
          <cell r="AJ58" t="str">
            <v/>
          </cell>
          <cell r="AK58">
            <v>0.80400000000000005</v>
          </cell>
          <cell r="AL58" t="str">
            <v/>
          </cell>
          <cell r="AM58" t="str">
            <v/>
          </cell>
          <cell r="AN58" t="str">
            <v/>
          </cell>
          <cell r="AO58" t="str">
            <v/>
          </cell>
          <cell r="AP58" t="str">
            <v/>
          </cell>
          <cell r="AQ58" t="str">
            <v/>
          </cell>
          <cell r="AR58" t="str">
            <v/>
          </cell>
          <cell r="AS58" t="str">
            <v/>
          </cell>
          <cell r="AT58" t="str">
            <v/>
          </cell>
          <cell r="AU58" t="str">
            <v/>
          </cell>
          <cell r="AV58" t="str">
            <v/>
          </cell>
          <cell r="AW58" t="str">
            <v/>
          </cell>
          <cell r="AX58" t="str">
            <v/>
          </cell>
          <cell r="AY58" t="str">
            <v/>
          </cell>
          <cell r="AZ58" t="str">
            <v/>
          </cell>
          <cell r="BA58" t="str">
            <v/>
          </cell>
          <cell r="FO58" t="str">
            <v>WY</v>
          </cell>
          <cell r="FP58">
            <v>52</v>
          </cell>
        </row>
        <row r="59">
          <cell r="B59">
            <v>36</v>
          </cell>
          <cell r="C59" t="str">
            <v/>
          </cell>
          <cell r="D59" t="str">
            <v/>
          </cell>
          <cell r="E59" t="str">
            <v/>
          </cell>
          <cell r="F59" t="str">
            <v/>
          </cell>
          <cell r="G59" t="str">
            <v/>
          </cell>
          <cell r="H59" t="str">
            <v/>
          </cell>
          <cell r="I59" t="str">
            <v/>
          </cell>
          <cell r="J59" t="str">
            <v/>
          </cell>
          <cell r="K59" t="str">
            <v/>
          </cell>
          <cell r="L59" t="str">
            <v/>
          </cell>
          <cell r="M59" t="str">
            <v/>
          </cell>
          <cell r="N59" t="str">
            <v/>
          </cell>
          <cell r="O59" t="str">
            <v/>
          </cell>
          <cell r="P59" t="str">
            <v/>
          </cell>
          <cell r="Q59" t="str">
            <v/>
          </cell>
          <cell r="R59" t="str">
            <v/>
          </cell>
          <cell r="S59" t="str">
            <v/>
          </cell>
          <cell r="T59" t="str">
            <v/>
          </cell>
          <cell r="U59" t="str">
            <v/>
          </cell>
          <cell r="V59" t="str">
            <v/>
          </cell>
          <cell r="W59" t="str">
            <v/>
          </cell>
          <cell r="X59" t="str">
            <v/>
          </cell>
          <cell r="Y59" t="str">
            <v/>
          </cell>
          <cell r="Z59" t="str">
            <v/>
          </cell>
          <cell r="AA59" t="str">
            <v/>
          </cell>
          <cell r="AB59" t="str">
            <v/>
          </cell>
          <cell r="AC59" t="str">
            <v/>
          </cell>
          <cell r="AD59" t="str">
            <v/>
          </cell>
          <cell r="AE59" t="str">
            <v/>
          </cell>
          <cell r="AF59" t="str">
            <v/>
          </cell>
          <cell r="AG59" t="str">
            <v/>
          </cell>
          <cell r="AH59" t="str">
            <v/>
          </cell>
          <cell r="AI59" t="str">
            <v/>
          </cell>
          <cell r="AJ59" t="str">
            <v/>
          </cell>
          <cell r="AK59">
            <v>0.80400000000000005</v>
          </cell>
          <cell r="AL59" t="str">
            <v/>
          </cell>
          <cell r="AM59" t="str">
            <v/>
          </cell>
          <cell r="AN59" t="str">
            <v/>
          </cell>
          <cell r="AO59" t="str">
            <v/>
          </cell>
          <cell r="AP59" t="str">
            <v/>
          </cell>
          <cell r="AQ59" t="str">
            <v/>
          </cell>
          <cell r="AR59" t="str">
            <v/>
          </cell>
          <cell r="AS59" t="str">
            <v/>
          </cell>
          <cell r="AT59" t="str">
            <v/>
          </cell>
          <cell r="AU59" t="str">
            <v/>
          </cell>
          <cell r="AV59" t="str">
            <v/>
          </cell>
          <cell r="AW59" t="str">
            <v/>
          </cell>
          <cell r="AX59" t="str">
            <v/>
          </cell>
          <cell r="AY59" t="str">
            <v/>
          </cell>
          <cell r="AZ59" t="str">
            <v/>
          </cell>
          <cell r="BA59" t="str">
            <v/>
          </cell>
        </row>
        <row r="60">
          <cell r="B60">
            <v>37</v>
          </cell>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cell r="S60" t="str">
            <v/>
          </cell>
          <cell r="T60" t="str">
            <v/>
          </cell>
          <cell r="U60" t="str">
            <v/>
          </cell>
          <cell r="V60" t="str">
            <v/>
          </cell>
          <cell r="W60" t="str">
            <v/>
          </cell>
          <cell r="X60" t="str">
            <v/>
          </cell>
          <cell r="Y60" t="str">
            <v/>
          </cell>
          <cell r="Z60" t="str">
            <v/>
          </cell>
          <cell r="AA60" t="str">
            <v/>
          </cell>
          <cell r="AB60" t="str">
            <v/>
          </cell>
          <cell r="AC60" t="str">
            <v/>
          </cell>
          <cell r="AD60" t="str">
            <v/>
          </cell>
          <cell r="AE60" t="str">
            <v/>
          </cell>
          <cell r="AF60" t="str">
            <v/>
          </cell>
          <cell r="AG60" t="str">
            <v/>
          </cell>
          <cell r="AH60" t="str">
            <v/>
          </cell>
          <cell r="AI60" t="str">
            <v/>
          </cell>
          <cell r="AJ60" t="str">
            <v/>
          </cell>
          <cell r="AK60">
            <v>1.044</v>
          </cell>
          <cell r="AL60" t="str">
            <v/>
          </cell>
          <cell r="AM60" t="str">
            <v/>
          </cell>
          <cell r="AN60" t="str">
            <v/>
          </cell>
          <cell r="AO60" t="str">
            <v/>
          </cell>
          <cell r="AP60" t="str">
            <v/>
          </cell>
          <cell r="AQ60" t="str">
            <v/>
          </cell>
          <cell r="AR60" t="str">
            <v/>
          </cell>
          <cell r="AS60" t="str">
            <v/>
          </cell>
          <cell r="AT60" t="str">
            <v/>
          </cell>
          <cell r="AU60" t="str">
            <v/>
          </cell>
          <cell r="AV60" t="str">
            <v/>
          </cell>
          <cell r="AW60" t="str">
            <v/>
          </cell>
          <cell r="AX60" t="str">
            <v/>
          </cell>
          <cell r="AY60" t="str">
            <v/>
          </cell>
          <cell r="AZ60" t="str">
            <v/>
          </cell>
          <cell r="BA60" t="str">
            <v/>
          </cell>
        </row>
        <row r="61">
          <cell r="B61">
            <v>38</v>
          </cell>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R61" t="str">
            <v/>
          </cell>
          <cell r="S61" t="str">
            <v/>
          </cell>
          <cell r="T61" t="str">
            <v/>
          </cell>
          <cell r="U61" t="str">
            <v/>
          </cell>
          <cell r="V61" t="str">
            <v/>
          </cell>
          <cell r="W61" t="str">
            <v/>
          </cell>
          <cell r="X61" t="str">
            <v/>
          </cell>
          <cell r="Y61" t="str">
            <v/>
          </cell>
          <cell r="Z61" t="str">
            <v/>
          </cell>
          <cell r="AA61" t="str">
            <v/>
          </cell>
          <cell r="AB61" t="str">
            <v/>
          </cell>
          <cell r="AC61" t="str">
            <v/>
          </cell>
          <cell r="AD61" t="str">
            <v/>
          </cell>
          <cell r="AE61" t="str">
            <v/>
          </cell>
          <cell r="AF61" t="str">
            <v/>
          </cell>
          <cell r="AG61" t="str">
            <v/>
          </cell>
          <cell r="AH61" t="str">
            <v/>
          </cell>
          <cell r="AI61" t="str">
            <v/>
          </cell>
          <cell r="AJ61" t="str">
            <v/>
          </cell>
          <cell r="AK61">
            <v>1.044</v>
          </cell>
          <cell r="AL61" t="str">
            <v/>
          </cell>
          <cell r="AM61" t="str">
            <v/>
          </cell>
          <cell r="AN61" t="str">
            <v/>
          </cell>
          <cell r="AO61" t="str">
            <v/>
          </cell>
          <cell r="AP61" t="str">
            <v/>
          </cell>
          <cell r="AQ61" t="str">
            <v/>
          </cell>
          <cell r="AR61" t="str">
            <v/>
          </cell>
          <cell r="AS61" t="str">
            <v/>
          </cell>
          <cell r="AT61" t="str">
            <v/>
          </cell>
          <cell r="AU61" t="str">
            <v/>
          </cell>
          <cell r="AV61" t="str">
            <v/>
          </cell>
          <cell r="AW61" t="str">
            <v/>
          </cell>
          <cell r="AX61" t="str">
            <v/>
          </cell>
          <cell r="AY61" t="str">
            <v/>
          </cell>
          <cell r="AZ61" t="str">
            <v/>
          </cell>
          <cell r="BA61" t="str">
            <v/>
          </cell>
        </row>
        <row r="62">
          <cell r="B62">
            <v>39</v>
          </cell>
          <cell r="C62" t="str">
            <v/>
          </cell>
          <cell r="D62" t="str">
            <v/>
          </cell>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R62" t="str">
            <v/>
          </cell>
          <cell r="S62" t="str">
            <v/>
          </cell>
          <cell r="T62" t="str">
            <v/>
          </cell>
          <cell r="U62" t="str">
            <v/>
          </cell>
          <cell r="V62" t="str">
            <v/>
          </cell>
          <cell r="W62" t="str">
            <v/>
          </cell>
          <cell r="X62" t="str">
            <v/>
          </cell>
          <cell r="Y62" t="str">
            <v/>
          </cell>
          <cell r="Z62" t="str">
            <v/>
          </cell>
          <cell r="AA62" t="str">
            <v/>
          </cell>
          <cell r="AB62" t="str">
            <v/>
          </cell>
          <cell r="AC62" t="str">
            <v/>
          </cell>
          <cell r="AD62" t="str">
            <v/>
          </cell>
          <cell r="AE62" t="str">
            <v/>
          </cell>
          <cell r="AF62" t="str">
            <v/>
          </cell>
          <cell r="AG62" t="str">
            <v/>
          </cell>
          <cell r="AH62" t="str">
            <v/>
          </cell>
          <cell r="AI62" t="str">
            <v/>
          </cell>
          <cell r="AJ62" t="str">
            <v/>
          </cell>
          <cell r="AK62">
            <v>1.478</v>
          </cell>
          <cell r="AL62" t="str">
            <v/>
          </cell>
          <cell r="AM62" t="str">
            <v/>
          </cell>
          <cell r="AN62" t="str">
            <v/>
          </cell>
          <cell r="AO62" t="str">
            <v/>
          </cell>
          <cell r="AP62" t="str">
            <v/>
          </cell>
          <cell r="AQ62" t="str">
            <v/>
          </cell>
          <cell r="AR62" t="str">
            <v/>
          </cell>
          <cell r="AS62" t="str">
            <v/>
          </cell>
          <cell r="AT62" t="str">
            <v/>
          </cell>
          <cell r="AU62" t="str">
            <v/>
          </cell>
          <cell r="AV62" t="str">
            <v/>
          </cell>
          <cell r="AW62" t="str">
            <v/>
          </cell>
          <cell r="AX62" t="str">
            <v/>
          </cell>
          <cell r="AY62" t="str">
            <v/>
          </cell>
          <cell r="AZ62" t="str">
            <v/>
          </cell>
          <cell r="BA62" t="str">
            <v/>
          </cell>
        </row>
        <row r="63">
          <cell r="B63">
            <v>40</v>
          </cell>
          <cell r="C63" t="str">
            <v/>
          </cell>
          <cell r="D63" t="str">
            <v/>
          </cell>
          <cell r="E63" t="str">
            <v/>
          </cell>
          <cell r="F63" t="str">
            <v/>
          </cell>
          <cell r="G63" t="str">
            <v/>
          </cell>
          <cell r="H63" t="str">
            <v/>
          </cell>
          <cell r="I63" t="str">
            <v/>
          </cell>
          <cell r="J63" t="str">
            <v/>
          </cell>
          <cell r="K63" t="str">
            <v/>
          </cell>
          <cell r="L63" t="str">
            <v/>
          </cell>
          <cell r="M63" t="str">
            <v/>
          </cell>
          <cell r="N63" t="str">
            <v/>
          </cell>
          <cell r="O63" t="str">
            <v/>
          </cell>
          <cell r="P63" t="str">
            <v/>
          </cell>
          <cell r="Q63" t="str">
            <v/>
          </cell>
          <cell r="R63" t="str">
            <v/>
          </cell>
          <cell r="S63" t="str">
            <v/>
          </cell>
          <cell r="T63" t="str">
            <v/>
          </cell>
          <cell r="U63" t="str">
            <v/>
          </cell>
          <cell r="V63" t="str">
            <v/>
          </cell>
          <cell r="W63" t="str">
            <v/>
          </cell>
          <cell r="X63" t="str">
            <v/>
          </cell>
          <cell r="Y63" t="str">
            <v/>
          </cell>
          <cell r="Z63" t="str">
            <v/>
          </cell>
          <cell r="AA63" t="str">
            <v/>
          </cell>
          <cell r="AB63" t="str">
            <v/>
          </cell>
          <cell r="AC63" t="str">
            <v/>
          </cell>
          <cell r="AD63" t="str">
            <v/>
          </cell>
          <cell r="AE63" t="str">
            <v/>
          </cell>
          <cell r="AF63" t="str">
            <v/>
          </cell>
          <cell r="AG63" t="str">
            <v/>
          </cell>
          <cell r="AH63" t="str">
            <v/>
          </cell>
          <cell r="AI63" t="str">
            <v/>
          </cell>
          <cell r="AJ63" t="str">
            <v/>
          </cell>
          <cell r="AK63" t="str">
            <v/>
          </cell>
          <cell r="AL63" t="str">
            <v/>
          </cell>
          <cell r="AM63" t="str">
            <v/>
          </cell>
          <cell r="AN63" t="str">
            <v/>
          </cell>
          <cell r="AO63" t="str">
            <v/>
          </cell>
          <cell r="AP63" t="str">
            <v/>
          </cell>
          <cell r="AQ63" t="str">
            <v/>
          </cell>
          <cell r="AR63" t="str">
            <v/>
          </cell>
          <cell r="AS63" t="str">
            <v/>
          </cell>
          <cell r="AT63" t="str">
            <v/>
          </cell>
          <cell r="AU63" t="str">
            <v/>
          </cell>
          <cell r="AV63" t="str">
            <v/>
          </cell>
          <cell r="AW63" t="str">
            <v/>
          </cell>
          <cell r="AX63" t="str">
            <v/>
          </cell>
          <cell r="AY63" t="str">
            <v/>
          </cell>
          <cell r="AZ63" t="str">
            <v/>
          </cell>
          <cell r="BA63" t="str">
            <v/>
          </cell>
        </row>
        <row r="67">
          <cell r="B67">
            <v>1</v>
          </cell>
          <cell r="C67" t="str">
            <v/>
          </cell>
          <cell r="D67">
            <v>0.86199999999999999</v>
          </cell>
          <cell r="E67">
            <v>1</v>
          </cell>
          <cell r="F67" t="str">
            <v/>
          </cell>
          <cell r="G67" t="str">
            <v/>
          </cell>
          <cell r="H67" t="str">
            <v/>
          </cell>
          <cell r="I67">
            <v>1.4059999999999999</v>
          </cell>
          <cell r="J67">
            <v>1</v>
          </cell>
          <cell r="K67">
            <v>1</v>
          </cell>
          <cell r="L67" t="str">
            <v/>
          </cell>
          <cell r="M67" t="str">
            <v/>
          </cell>
          <cell r="N67" t="str">
            <v/>
          </cell>
          <cell r="O67">
            <v>1</v>
          </cell>
          <cell r="P67">
            <v>1</v>
          </cell>
          <cell r="Q67">
            <v>0.95599999999999996</v>
          </cell>
          <cell r="R67" t="str">
            <v/>
          </cell>
          <cell r="S67">
            <v>0.96299999999999997</v>
          </cell>
          <cell r="T67" t="str">
            <v/>
          </cell>
          <cell r="U67" t="str">
            <v/>
          </cell>
          <cell r="V67">
            <v>1.0269999999999999</v>
          </cell>
          <cell r="W67">
            <v>0.96699999999999997</v>
          </cell>
          <cell r="X67">
            <v>1</v>
          </cell>
          <cell r="Y67" t="str">
            <v/>
          </cell>
          <cell r="Z67" t="str">
            <v/>
          </cell>
          <cell r="AA67">
            <v>0.78</v>
          </cell>
          <cell r="AB67" t="str">
            <v/>
          </cell>
          <cell r="AC67" t="str">
            <v/>
          </cell>
          <cell r="AD67" t="str">
            <v/>
          </cell>
          <cell r="AE67">
            <v>1</v>
          </cell>
          <cell r="AF67">
            <v>0.96</v>
          </cell>
          <cell r="AG67">
            <v>1</v>
          </cell>
          <cell r="AH67">
            <v>0.80100000000000005</v>
          </cell>
          <cell r="AI67" t="str">
            <v/>
          </cell>
          <cell r="AJ67">
            <v>1</v>
          </cell>
          <cell r="AK67" t="str">
            <v/>
          </cell>
          <cell r="AL67" t="str">
            <v/>
          </cell>
          <cell r="AM67">
            <v>0.95899999999999996</v>
          </cell>
          <cell r="AN67">
            <v>0.878</v>
          </cell>
          <cell r="AO67">
            <v>2.1680000000000001</v>
          </cell>
          <cell r="AP67">
            <v>0.87</v>
          </cell>
          <cell r="AQ67" t="str">
            <v/>
          </cell>
          <cell r="AR67">
            <v>1</v>
          </cell>
          <cell r="AS67">
            <v>0.85399999999999998</v>
          </cell>
          <cell r="AT67" t="str">
            <v/>
          </cell>
          <cell r="AU67">
            <v>1</v>
          </cell>
          <cell r="AV67">
            <v>1.0109999999999999</v>
          </cell>
          <cell r="AW67">
            <v>1</v>
          </cell>
          <cell r="AX67">
            <v>1.0289999999999999</v>
          </cell>
          <cell r="AY67">
            <v>1.1890000000000001</v>
          </cell>
          <cell r="AZ67">
            <v>1</v>
          </cell>
          <cell r="BA67" t="str">
            <v/>
          </cell>
        </row>
        <row r="68">
          <cell r="B68">
            <v>2</v>
          </cell>
          <cell r="C68">
            <v>1.1220000000000001</v>
          </cell>
          <cell r="D68" t="str">
            <v/>
          </cell>
          <cell r="E68" t="str">
            <v/>
          </cell>
          <cell r="F68" t="str">
            <v/>
          </cell>
          <cell r="G68" t="str">
            <v/>
          </cell>
          <cell r="H68" t="str">
            <v/>
          </cell>
          <cell r="I68" t="str">
            <v/>
          </cell>
          <cell r="J68" t="str">
            <v/>
          </cell>
          <cell r="K68" t="str">
            <v/>
          </cell>
          <cell r="L68">
            <v>1.048</v>
          </cell>
          <cell r="M68">
            <v>0.69</v>
          </cell>
          <cell r="N68" t="str">
            <v/>
          </cell>
          <cell r="O68" t="str">
            <v/>
          </cell>
          <cell r="P68" t="str">
            <v/>
          </cell>
          <cell r="Q68" t="str">
            <v/>
          </cell>
          <cell r="R68">
            <v>0.79200000000000004</v>
          </cell>
          <cell r="S68">
            <v>1.0369999999999999</v>
          </cell>
          <cell r="T68" t="str">
            <v/>
          </cell>
          <cell r="U68" t="str">
            <v/>
          </cell>
          <cell r="V68">
            <v>1.117</v>
          </cell>
          <cell r="W68">
            <v>0.82</v>
          </cell>
          <cell r="X68" t="str">
            <v/>
          </cell>
          <cell r="Y68">
            <v>1.44</v>
          </cell>
          <cell r="Z68">
            <v>1.0940000000000001</v>
          </cell>
          <cell r="AA68" t="str">
            <v/>
          </cell>
          <cell r="AB68">
            <v>1.0149999999999999</v>
          </cell>
          <cell r="AC68">
            <v>0.83599999999999997</v>
          </cell>
          <cell r="AD68" t="str">
            <v/>
          </cell>
          <cell r="AE68" t="str">
            <v/>
          </cell>
          <cell r="AF68" t="str">
            <v/>
          </cell>
          <cell r="AG68" t="str">
            <v/>
          </cell>
          <cell r="AH68">
            <v>1.03</v>
          </cell>
          <cell r="AI68">
            <v>0.93100000000000005</v>
          </cell>
          <cell r="AJ68" t="str">
            <v/>
          </cell>
          <cell r="AK68">
            <v>1.01</v>
          </cell>
          <cell r="AL68">
            <v>1.181</v>
          </cell>
          <cell r="AM68">
            <v>1.0289999999999999</v>
          </cell>
          <cell r="AN68">
            <v>1.42</v>
          </cell>
          <cell r="AO68">
            <v>0.89100000000000001</v>
          </cell>
          <cell r="AP68">
            <v>1.165</v>
          </cell>
          <cell r="AQ68">
            <v>0.61099999999999999</v>
          </cell>
          <cell r="AR68" t="str">
            <v/>
          </cell>
          <cell r="AS68">
            <v>0.91100000000000003</v>
          </cell>
          <cell r="AT68" t="str">
            <v/>
          </cell>
          <cell r="AU68" t="str">
            <v/>
          </cell>
          <cell r="AV68" t="str">
            <v/>
          </cell>
          <cell r="AW68" t="str">
            <v/>
          </cell>
          <cell r="AX68">
            <v>0.97099999999999997</v>
          </cell>
          <cell r="AY68">
            <v>1.024</v>
          </cell>
          <cell r="AZ68" t="str">
            <v/>
          </cell>
          <cell r="BA68">
            <v>0.96</v>
          </cell>
        </row>
        <row r="69">
          <cell r="B69">
            <v>3</v>
          </cell>
          <cell r="C69">
            <v>1.032</v>
          </cell>
          <cell r="D69" t="str">
            <v/>
          </cell>
          <cell r="E69" t="str">
            <v/>
          </cell>
          <cell r="F69">
            <v>0.94</v>
          </cell>
          <cell r="G69" t="str">
            <v/>
          </cell>
          <cell r="H69">
            <v>0.97399999999999998</v>
          </cell>
          <cell r="I69">
            <v>0.87</v>
          </cell>
          <cell r="J69" t="str">
            <v/>
          </cell>
          <cell r="K69" t="str">
            <v/>
          </cell>
          <cell r="L69" t="str">
            <v/>
          </cell>
          <cell r="M69" t="str">
            <v/>
          </cell>
          <cell r="N69" t="str">
            <v/>
          </cell>
          <cell r="O69" t="str">
            <v/>
          </cell>
          <cell r="P69" t="str">
            <v/>
          </cell>
          <cell r="Q69" t="str">
            <v/>
          </cell>
          <cell r="R69">
            <v>0.98499999999999999</v>
          </cell>
          <cell r="S69" t="str">
            <v/>
          </cell>
          <cell r="T69">
            <v>0.95399999999999996</v>
          </cell>
          <cell r="U69" t="str">
            <v/>
          </cell>
          <cell r="V69" t="str">
            <v/>
          </cell>
          <cell r="W69" t="str">
            <v/>
          </cell>
          <cell r="X69" t="str">
            <v/>
          </cell>
          <cell r="Y69">
            <v>0.876</v>
          </cell>
          <cell r="Z69">
            <v>0.754</v>
          </cell>
          <cell r="AA69">
            <v>1.1160000000000001</v>
          </cell>
          <cell r="AB69">
            <v>1.0900000000000001</v>
          </cell>
          <cell r="AC69">
            <v>1.0880000000000001</v>
          </cell>
          <cell r="AD69">
            <v>1.099</v>
          </cell>
          <cell r="AE69" t="str">
            <v/>
          </cell>
          <cell r="AF69">
            <v>0.98199999999999998</v>
          </cell>
          <cell r="AG69" t="str">
            <v/>
          </cell>
          <cell r="AH69">
            <v>1.202</v>
          </cell>
          <cell r="AI69">
            <v>1.04</v>
          </cell>
          <cell r="AJ69" t="str">
            <v/>
          </cell>
          <cell r="AK69">
            <v>0.871</v>
          </cell>
          <cell r="AL69" t="str">
            <v/>
          </cell>
          <cell r="AM69">
            <v>0.96499999999999997</v>
          </cell>
          <cell r="AN69" t="str">
            <v/>
          </cell>
          <cell r="AO69">
            <v>1.0249999999999999</v>
          </cell>
          <cell r="AP69">
            <v>0.94199999999999995</v>
          </cell>
          <cell r="AQ69">
            <v>1.1499999999999999</v>
          </cell>
          <cell r="AR69" t="str">
            <v/>
          </cell>
          <cell r="AS69" t="str">
            <v/>
          </cell>
          <cell r="AT69" t="str">
            <v/>
          </cell>
          <cell r="AU69" t="str">
            <v/>
          </cell>
          <cell r="AV69" t="str">
            <v/>
          </cell>
          <cell r="AW69" t="str">
            <v/>
          </cell>
          <cell r="AX69" t="str">
            <v/>
          </cell>
          <cell r="AY69">
            <v>1.024</v>
          </cell>
          <cell r="AZ69" t="str">
            <v/>
          </cell>
          <cell r="BA69">
            <v>1.0049999999999999</v>
          </cell>
        </row>
        <row r="70">
          <cell r="B70">
            <v>4</v>
          </cell>
          <cell r="C70" t="str">
            <v/>
          </cell>
          <cell r="D70">
            <v>0.91100000000000003</v>
          </cell>
          <cell r="E70" t="str">
            <v/>
          </cell>
          <cell r="F70">
            <v>1.1499999999999999</v>
          </cell>
          <cell r="G70" t="str">
            <v/>
          </cell>
          <cell r="H70">
            <v>0.94399999999999995</v>
          </cell>
          <cell r="I70">
            <v>1.087</v>
          </cell>
          <cell r="J70" t="str">
            <v/>
          </cell>
          <cell r="K70" t="str">
            <v/>
          </cell>
          <cell r="L70" t="str">
            <v/>
          </cell>
          <cell r="M70">
            <v>0.89500000000000002</v>
          </cell>
          <cell r="N70" t="str">
            <v/>
          </cell>
          <cell r="O70" t="str">
            <v/>
          </cell>
          <cell r="P70" t="str">
            <v/>
          </cell>
          <cell r="Q70">
            <v>1.0740000000000001</v>
          </cell>
          <cell r="R70">
            <v>1</v>
          </cell>
          <cell r="S70" t="str">
            <v/>
          </cell>
          <cell r="T70">
            <v>0.94099999999999995</v>
          </cell>
          <cell r="U70" t="str">
            <v/>
          </cell>
          <cell r="V70" t="str">
            <v/>
          </cell>
          <cell r="W70">
            <v>1</v>
          </cell>
          <cell r="X70" t="str">
            <v/>
          </cell>
          <cell r="Y70">
            <v>0.876</v>
          </cell>
          <cell r="Z70">
            <v>1.0349999999999999</v>
          </cell>
          <cell r="AA70">
            <v>0.93799999999999994</v>
          </cell>
          <cell r="AB70">
            <v>1.3420000000000001</v>
          </cell>
          <cell r="AC70">
            <v>1.077</v>
          </cell>
          <cell r="AD70">
            <v>1.2749999999999999</v>
          </cell>
          <cell r="AE70" t="str">
            <v/>
          </cell>
          <cell r="AF70">
            <v>1.04</v>
          </cell>
          <cell r="AG70" t="str">
            <v/>
          </cell>
          <cell r="AH70" t="str">
            <v/>
          </cell>
          <cell r="AI70">
            <v>1.0289999999999999</v>
          </cell>
          <cell r="AJ70" t="str">
            <v/>
          </cell>
          <cell r="AK70">
            <v>0.61399999999999999</v>
          </cell>
          <cell r="AL70">
            <v>0.72899999999999998</v>
          </cell>
          <cell r="AM70" t="str">
            <v/>
          </cell>
          <cell r="AN70" t="str">
            <v/>
          </cell>
          <cell r="AO70">
            <v>1.02</v>
          </cell>
          <cell r="AP70" t="str">
            <v/>
          </cell>
          <cell r="AQ70">
            <v>1.65</v>
          </cell>
          <cell r="AR70" t="str">
            <v/>
          </cell>
          <cell r="AS70">
            <v>0.9</v>
          </cell>
          <cell r="AT70">
            <v>1.1910000000000001</v>
          </cell>
          <cell r="AU70" t="str">
            <v/>
          </cell>
          <cell r="AV70" t="str">
            <v/>
          </cell>
          <cell r="AW70" t="str">
            <v/>
          </cell>
          <cell r="AX70" t="str">
            <v/>
          </cell>
          <cell r="AY70">
            <v>0.76300000000000001</v>
          </cell>
          <cell r="AZ70" t="str">
            <v/>
          </cell>
          <cell r="BA70" t="str">
            <v/>
          </cell>
        </row>
        <row r="71">
          <cell r="B71">
            <v>5</v>
          </cell>
          <cell r="C71" t="str">
            <v/>
          </cell>
          <cell r="D71">
            <v>0.92600000000000005</v>
          </cell>
          <cell r="E71" t="str">
            <v/>
          </cell>
          <cell r="F71">
            <v>0.98799999999999999</v>
          </cell>
          <cell r="G71" t="str">
            <v/>
          </cell>
          <cell r="H71">
            <v>0.996</v>
          </cell>
          <cell r="I71">
            <v>0.89</v>
          </cell>
          <cell r="J71" t="str">
            <v/>
          </cell>
          <cell r="K71" t="str">
            <v/>
          </cell>
          <cell r="L71" t="str">
            <v/>
          </cell>
          <cell r="M71">
            <v>0.97899999999999998</v>
          </cell>
          <cell r="N71" t="str">
            <v/>
          </cell>
          <cell r="O71" t="str">
            <v/>
          </cell>
          <cell r="P71" t="str">
            <v/>
          </cell>
          <cell r="Q71" t="str">
            <v/>
          </cell>
          <cell r="R71">
            <v>1.0900000000000001</v>
          </cell>
          <cell r="S71" t="str">
            <v/>
          </cell>
          <cell r="T71">
            <v>1.105</v>
          </cell>
          <cell r="U71" t="str">
            <v/>
          </cell>
          <cell r="V71" t="str">
            <v/>
          </cell>
          <cell r="W71">
            <v>1.0429999999999999</v>
          </cell>
          <cell r="X71" t="str">
            <v/>
          </cell>
          <cell r="Y71">
            <v>0.84499999999999997</v>
          </cell>
          <cell r="Z71">
            <v>1.02</v>
          </cell>
          <cell r="AA71">
            <v>1.1659999999999999</v>
          </cell>
          <cell r="AB71" t="str">
            <v/>
          </cell>
          <cell r="AC71" t="str">
            <v/>
          </cell>
          <cell r="AD71">
            <v>0.76</v>
          </cell>
          <cell r="AE71" t="str">
            <v/>
          </cell>
          <cell r="AF71" t="str">
            <v/>
          </cell>
          <cell r="AG71" t="str">
            <v/>
          </cell>
          <cell r="AH71">
            <v>0.90900000000000003</v>
          </cell>
          <cell r="AI71" t="str">
            <v/>
          </cell>
          <cell r="AJ71" t="str">
            <v/>
          </cell>
          <cell r="AK71">
            <v>0.85199999999999998</v>
          </cell>
          <cell r="AL71" t="str">
            <v/>
          </cell>
          <cell r="AM71" t="str">
            <v/>
          </cell>
          <cell r="AN71" t="str">
            <v/>
          </cell>
          <cell r="AO71">
            <v>0.76600000000000001</v>
          </cell>
          <cell r="AP71" t="str">
            <v/>
          </cell>
          <cell r="AQ71" t="str">
            <v/>
          </cell>
          <cell r="AR71" t="str">
            <v/>
          </cell>
          <cell r="AS71">
            <v>0.9</v>
          </cell>
          <cell r="AT71">
            <v>0.80900000000000005</v>
          </cell>
          <cell r="AU71" t="str">
            <v/>
          </cell>
          <cell r="AV71">
            <v>1.18</v>
          </cell>
          <cell r="AW71" t="str">
            <v/>
          </cell>
          <cell r="AX71" t="str">
            <v/>
          </cell>
          <cell r="AY71" t="str">
            <v/>
          </cell>
          <cell r="AZ71" t="str">
            <v/>
          </cell>
          <cell r="BA71" t="str">
            <v/>
          </cell>
        </row>
        <row r="72">
          <cell r="B72">
            <v>6</v>
          </cell>
          <cell r="C72" t="str">
            <v/>
          </cell>
          <cell r="D72">
            <v>1.25</v>
          </cell>
          <cell r="E72" t="str">
            <v/>
          </cell>
          <cell r="F72">
            <v>0.92200000000000004</v>
          </cell>
          <cell r="G72" t="str">
            <v/>
          </cell>
          <cell r="H72">
            <v>1.0860000000000001</v>
          </cell>
          <cell r="I72">
            <v>0.91</v>
          </cell>
          <cell r="J72" t="str">
            <v/>
          </cell>
          <cell r="K72" t="str">
            <v/>
          </cell>
          <cell r="L72" t="str">
            <v/>
          </cell>
          <cell r="M72">
            <v>1.4359999999999999</v>
          </cell>
          <cell r="N72" t="str">
            <v/>
          </cell>
          <cell r="O72" t="str">
            <v/>
          </cell>
          <cell r="P72" t="str">
            <v/>
          </cell>
          <cell r="Q72">
            <v>0.77900000000000003</v>
          </cell>
          <cell r="R72" t="str">
            <v/>
          </cell>
          <cell r="S72" t="str">
            <v/>
          </cell>
          <cell r="T72" t="str">
            <v/>
          </cell>
          <cell r="U72" t="str">
            <v/>
          </cell>
          <cell r="V72">
            <v>1.0229999999999999</v>
          </cell>
          <cell r="W72" t="str">
            <v/>
          </cell>
          <cell r="X72" t="str">
            <v/>
          </cell>
          <cell r="Y72">
            <v>1.36</v>
          </cell>
          <cell r="Z72">
            <v>1.3069999999999999</v>
          </cell>
          <cell r="AA72" t="str">
            <v/>
          </cell>
          <cell r="AB72" t="str">
            <v/>
          </cell>
          <cell r="AC72" t="str">
            <v/>
          </cell>
          <cell r="AD72">
            <v>0.86499999999999999</v>
          </cell>
          <cell r="AE72" t="str">
            <v/>
          </cell>
          <cell r="AF72" t="str">
            <v/>
          </cell>
          <cell r="AG72" t="str">
            <v/>
          </cell>
          <cell r="AH72" t="str">
            <v/>
          </cell>
          <cell r="AI72" t="str">
            <v/>
          </cell>
          <cell r="AJ72" t="str">
            <v/>
          </cell>
          <cell r="AK72">
            <v>0.65700000000000003</v>
          </cell>
          <cell r="AL72">
            <v>0.873</v>
          </cell>
          <cell r="AM72" t="str">
            <v/>
          </cell>
          <cell r="AN72" t="str">
            <v/>
          </cell>
          <cell r="AO72" t="str">
            <v/>
          </cell>
          <cell r="AP72" t="str">
            <v/>
          </cell>
          <cell r="AQ72" t="str">
            <v/>
          </cell>
          <cell r="AR72" t="str">
            <v/>
          </cell>
          <cell r="AS72">
            <v>0.95</v>
          </cell>
          <cell r="AT72">
            <v>1.0169999999999999</v>
          </cell>
          <cell r="AU72" t="str">
            <v/>
          </cell>
          <cell r="AV72">
            <v>1.25</v>
          </cell>
          <cell r="AW72" t="str">
            <v/>
          </cell>
          <cell r="AX72" t="str">
            <v/>
          </cell>
          <cell r="AY72" t="str">
            <v/>
          </cell>
          <cell r="AZ72" t="str">
            <v/>
          </cell>
          <cell r="BA72" t="str">
            <v/>
          </cell>
        </row>
        <row r="73">
          <cell r="B73">
            <v>7</v>
          </cell>
          <cell r="C73" t="str">
            <v/>
          </cell>
          <cell r="D73" t="str">
            <v/>
          </cell>
          <cell r="E73" t="str">
            <v/>
          </cell>
          <cell r="F73" t="str">
            <v/>
          </cell>
          <cell r="G73" t="str">
            <v/>
          </cell>
          <cell r="H73" t="str">
            <v/>
          </cell>
          <cell r="I73">
            <v>1.075</v>
          </cell>
          <cell r="J73" t="str">
            <v/>
          </cell>
          <cell r="K73" t="str">
            <v/>
          </cell>
          <cell r="L73">
            <v>1.3919999999999999</v>
          </cell>
          <cell r="M73" t="str">
            <v/>
          </cell>
          <cell r="N73" t="str">
            <v/>
          </cell>
          <cell r="O73" t="str">
            <v/>
          </cell>
          <cell r="P73" t="str">
            <v/>
          </cell>
          <cell r="Q73">
            <v>1.141</v>
          </cell>
          <cell r="R73">
            <v>1.075</v>
          </cell>
          <cell r="S73" t="str">
            <v/>
          </cell>
          <cell r="T73" t="str">
            <v/>
          </cell>
          <cell r="U73" t="str">
            <v/>
          </cell>
          <cell r="V73">
            <v>0.90400000000000003</v>
          </cell>
          <cell r="W73" t="str">
            <v/>
          </cell>
          <cell r="X73" t="str">
            <v/>
          </cell>
          <cell r="Y73" t="str">
            <v/>
          </cell>
          <cell r="Z73" t="str">
            <v/>
          </cell>
          <cell r="AA73" t="str">
            <v/>
          </cell>
          <cell r="AB73" t="str">
            <v/>
          </cell>
          <cell r="AC73" t="str">
            <v/>
          </cell>
          <cell r="AD73" t="str">
            <v/>
          </cell>
          <cell r="AE73" t="str">
            <v/>
          </cell>
          <cell r="AF73" t="str">
            <v/>
          </cell>
          <cell r="AG73" t="str">
            <v/>
          </cell>
          <cell r="AH73" t="str">
            <v/>
          </cell>
          <cell r="AI73" t="str">
            <v/>
          </cell>
          <cell r="AJ73" t="str">
            <v/>
          </cell>
          <cell r="AK73">
            <v>1.319</v>
          </cell>
          <cell r="AL73" t="str">
            <v/>
          </cell>
          <cell r="AM73" t="str">
            <v/>
          </cell>
          <cell r="AN73" t="str">
            <v/>
          </cell>
          <cell r="AO73">
            <v>1.2789999999999999</v>
          </cell>
          <cell r="AP73" t="str">
            <v/>
          </cell>
          <cell r="AQ73" t="str">
            <v/>
          </cell>
          <cell r="AR73" t="str">
            <v/>
          </cell>
          <cell r="AS73" t="str">
            <v/>
          </cell>
          <cell r="AT73">
            <v>1.1559999999999999</v>
          </cell>
          <cell r="AU73" t="str">
            <v/>
          </cell>
          <cell r="AV73">
            <v>1.35</v>
          </cell>
          <cell r="AW73" t="str">
            <v/>
          </cell>
          <cell r="AX73" t="str">
            <v/>
          </cell>
          <cell r="AY73" t="str">
            <v/>
          </cell>
          <cell r="AZ73" t="str">
            <v/>
          </cell>
          <cell r="BA73" t="str">
            <v/>
          </cell>
        </row>
        <row r="74">
          <cell r="B74">
            <v>8</v>
          </cell>
          <cell r="C74" t="str">
            <v/>
          </cell>
          <cell r="D74" t="str">
            <v/>
          </cell>
          <cell r="E74" t="str">
            <v/>
          </cell>
          <cell r="F74" t="str">
            <v/>
          </cell>
          <cell r="G74" t="str">
            <v/>
          </cell>
          <cell r="H74" t="str">
            <v/>
          </cell>
          <cell r="I74">
            <v>0.86</v>
          </cell>
          <cell r="J74" t="str">
            <v/>
          </cell>
          <cell r="K74" t="str">
            <v/>
          </cell>
          <cell r="L74">
            <v>1.399</v>
          </cell>
          <cell r="M74" t="str">
            <v/>
          </cell>
          <cell r="N74" t="str">
            <v/>
          </cell>
          <cell r="O74" t="str">
            <v/>
          </cell>
          <cell r="P74" t="str">
            <v/>
          </cell>
          <cell r="Q74">
            <v>0.79900000000000004</v>
          </cell>
          <cell r="R74" t="str">
            <v/>
          </cell>
          <cell r="S74" t="str">
            <v/>
          </cell>
          <cell r="T74" t="str">
            <v/>
          </cell>
          <cell r="U74" t="str">
            <v/>
          </cell>
          <cell r="V74">
            <v>0.95199999999999996</v>
          </cell>
          <cell r="W74" t="str">
            <v/>
          </cell>
          <cell r="X74" t="str">
            <v/>
          </cell>
          <cell r="Y74" t="str">
            <v/>
          </cell>
          <cell r="Z74" t="str">
            <v/>
          </cell>
          <cell r="AA74" t="str">
            <v/>
          </cell>
          <cell r="AB74" t="str">
            <v/>
          </cell>
          <cell r="AC74" t="str">
            <v/>
          </cell>
          <cell r="AD74" t="str">
            <v/>
          </cell>
          <cell r="AE74" t="str">
            <v/>
          </cell>
          <cell r="AF74" t="str">
            <v/>
          </cell>
          <cell r="AG74" t="str">
            <v/>
          </cell>
          <cell r="AH74">
            <v>1.0409999999999999</v>
          </cell>
          <cell r="AI74" t="str">
            <v/>
          </cell>
          <cell r="AJ74" t="str">
            <v/>
          </cell>
          <cell r="AK74">
            <v>0.64800000000000002</v>
          </cell>
          <cell r="AL74">
            <v>1.0680000000000001</v>
          </cell>
          <cell r="AM74" t="str">
            <v/>
          </cell>
          <cell r="AN74" t="str">
            <v/>
          </cell>
          <cell r="AO74" t="str">
            <v/>
          </cell>
          <cell r="AP74" t="str">
            <v/>
          </cell>
          <cell r="AQ74" t="str">
            <v/>
          </cell>
          <cell r="AR74" t="str">
            <v/>
          </cell>
          <cell r="AS74" t="str">
            <v/>
          </cell>
          <cell r="AT74">
            <v>1.1399999999999999</v>
          </cell>
          <cell r="AU74" t="str">
            <v/>
          </cell>
          <cell r="AV74">
            <v>1.35</v>
          </cell>
          <cell r="AW74" t="str">
            <v/>
          </cell>
          <cell r="AX74" t="str">
            <v/>
          </cell>
          <cell r="AY74" t="str">
            <v/>
          </cell>
          <cell r="AZ74" t="str">
            <v/>
          </cell>
          <cell r="BA74" t="str">
            <v/>
          </cell>
        </row>
        <row r="75">
          <cell r="B75">
            <v>9</v>
          </cell>
          <cell r="C75" t="str">
            <v/>
          </cell>
          <cell r="D75" t="str">
            <v/>
          </cell>
          <cell r="E75" t="str">
            <v/>
          </cell>
          <cell r="F75" t="str">
            <v/>
          </cell>
          <cell r="G75" t="str">
            <v/>
          </cell>
          <cell r="H75" t="str">
            <v/>
          </cell>
          <cell r="I75">
            <v>1.01</v>
          </cell>
          <cell r="J75" t="str">
            <v/>
          </cell>
          <cell r="K75" t="str">
            <v/>
          </cell>
          <cell r="L75">
            <v>1.0169999999999999</v>
          </cell>
          <cell r="M75" t="str">
            <v/>
          </cell>
          <cell r="N75" t="str">
            <v/>
          </cell>
          <cell r="O75" t="str">
            <v/>
          </cell>
          <cell r="P75" t="str">
            <v/>
          </cell>
          <cell r="Q75">
            <v>1.038</v>
          </cell>
          <cell r="R75" t="str">
            <v/>
          </cell>
          <cell r="S75" t="str">
            <v/>
          </cell>
          <cell r="T75" t="str">
            <v/>
          </cell>
          <cell r="U75" t="str">
            <v/>
          </cell>
          <cell r="V75">
            <v>0.99399999999999999</v>
          </cell>
          <cell r="W75" t="str">
            <v/>
          </cell>
          <cell r="X75" t="str">
            <v/>
          </cell>
          <cell r="Y75" t="str">
            <v/>
          </cell>
          <cell r="Z75" t="str">
            <v/>
          </cell>
          <cell r="AA75" t="str">
            <v/>
          </cell>
          <cell r="AB75" t="str">
            <v/>
          </cell>
          <cell r="AC75" t="str">
            <v/>
          </cell>
          <cell r="AD75" t="str">
            <v/>
          </cell>
          <cell r="AE75" t="str">
            <v/>
          </cell>
          <cell r="AF75" t="str">
            <v/>
          </cell>
          <cell r="AG75" t="str">
            <v/>
          </cell>
          <cell r="AH75">
            <v>1.18</v>
          </cell>
          <cell r="AI75" t="str">
            <v/>
          </cell>
          <cell r="AJ75" t="str">
            <v/>
          </cell>
          <cell r="AK75">
            <v>0.9</v>
          </cell>
          <cell r="AL75">
            <v>1.0680000000000001</v>
          </cell>
          <cell r="AM75" t="str">
            <v/>
          </cell>
          <cell r="AN75" t="str">
            <v/>
          </cell>
          <cell r="AO75">
            <v>0.68300000000000005</v>
          </cell>
          <cell r="AP75" t="str">
            <v/>
          </cell>
          <cell r="AQ75" t="str">
            <v/>
          </cell>
          <cell r="AR75" t="str">
            <v/>
          </cell>
          <cell r="AS75" t="str">
            <v/>
          </cell>
          <cell r="AT75">
            <v>1.3540000000000001</v>
          </cell>
          <cell r="AU75" t="str">
            <v/>
          </cell>
          <cell r="AV75">
            <v>1.1479999999999999</v>
          </cell>
          <cell r="AW75" t="str">
            <v/>
          </cell>
          <cell r="AX75" t="str">
            <v/>
          </cell>
          <cell r="AY75" t="str">
            <v/>
          </cell>
          <cell r="AZ75" t="str">
            <v/>
          </cell>
          <cell r="BA75" t="str">
            <v/>
          </cell>
        </row>
        <row r="76">
          <cell r="B76">
            <v>10</v>
          </cell>
          <cell r="C76" t="str">
            <v/>
          </cell>
          <cell r="D76" t="str">
            <v/>
          </cell>
          <cell r="E76" t="str">
            <v/>
          </cell>
          <cell r="F76" t="str">
            <v/>
          </cell>
          <cell r="G76" t="str">
            <v/>
          </cell>
          <cell r="H76" t="str">
            <v/>
          </cell>
          <cell r="I76" t="str">
            <v/>
          </cell>
          <cell r="J76" t="str">
            <v/>
          </cell>
          <cell r="K76" t="str">
            <v/>
          </cell>
          <cell r="L76">
            <v>0.87</v>
          </cell>
          <cell r="M76" t="str">
            <v/>
          </cell>
          <cell r="N76" t="str">
            <v/>
          </cell>
          <cell r="O76" t="str">
            <v/>
          </cell>
          <cell r="P76" t="str">
            <v/>
          </cell>
          <cell r="Q76" t="str">
            <v/>
          </cell>
          <cell r="R76" t="str">
            <v/>
          </cell>
          <cell r="S76" t="str">
            <v/>
          </cell>
          <cell r="T76" t="str">
            <v/>
          </cell>
          <cell r="U76" t="str">
            <v/>
          </cell>
          <cell r="V76">
            <v>1.046</v>
          </cell>
          <cell r="W76" t="str">
            <v/>
          </cell>
          <cell r="X76" t="str">
            <v/>
          </cell>
          <cell r="Y76" t="str">
            <v/>
          </cell>
          <cell r="Z76" t="str">
            <v/>
          </cell>
          <cell r="AA76" t="str">
            <v/>
          </cell>
          <cell r="AB76" t="str">
            <v/>
          </cell>
          <cell r="AC76" t="str">
            <v/>
          </cell>
          <cell r="AD76" t="str">
            <v/>
          </cell>
          <cell r="AE76" t="str">
            <v/>
          </cell>
          <cell r="AF76" t="str">
            <v/>
          </cell>
          <cell r="AG76" t="str">
            <v/>
          </cell>
          <cell r="AH76" t="str">
            <v/>
          </cell>
          <cell r="AI76" t="str">
            <v/>
          </cell>
          <cell r="AJ76" t="str">
            <v/>
          </cell>
          <cell r="AK76" t="str">
            <v/>
          </cell>
          <cell r="AL76">
            <v>1.0680000000000001</v>
          </cell>
          <cell r="AM76" t="str">
            <v/>
          </cell>
          <cell r="AN76" t="str">
            <v/>
          </cell>
          <cell r="AO76" t="str">
            <v/>
          </cell>
          <cell r="AP76" t="str">
            <v/>
          </cell>
          <cell r="AQ76" t="str">
            <v/>
          </cell>
          <cell r="AR76" t="str">
            <v/>
          </cell>
          <cell r="AS76" t="str">
            <v/>
          </cell>
          <cell r="AT76">
            <v>1.024</v>
          </cell>
          <cell r="AU76" t="str">
            <v/>
          </cell>
          <cell r="AV76">
            <v>1.03</v>
          </cell>
          <cell r="AW76" t="str">
            <v/>
          </cell>
          <cell r="AX76" t="str">
            <v/>
          </cell>
          <cell r="AY76" t="str">
            <v/>
          </cell>
          <cell r="AZ76" t="str">
            <v/>
          </cell>
          <cell r="BA76" t="str">
            <v/>
          </cell>
        </row>
        <row r="77">
          <cell r="B77">
            <v>11</v>
          </cell>
          <cell r="C77" t="str">
            <v/>
          </cell>
          <cell r="D77" t="str">
            <v/>
          </cell>
          <cell r="E77" t="str">
            <v/>
          </cell>
          <cell r="F77" t="str">
            <v/>
          </cell>
          <cell r="G77" t="str">
            <v/>
          </cell>
          <cell r="H77" t="str">
            <v/>
          </cell>
          <cell r="I77" t="str">
            <v/>
          </cell>
          <cell r="J77" t="str">
            <v/>
          </cell>
          <cell r="K77" t="str">
            <v/>
          </cell>
          <cell r="L77">
            <v>1.5069999999999999</v>
          </cell>
          <cell r="M77" t="str">
            <v/>
          </cell>
          <cell r="N77" t="str">
            <v/>
          </cell>
          <cell r="O77" t="str">
            <v/>
          </cell>
          <cell r="P77" t="str">
            <v/>
          </cell>
          <cell r="Q77" t="str">
            <v/>
          </cell>
          <cell r="R77" t="str">
            <v/>
          </cell>
          <cell r="S77" t="str">
            <v/>
          </cell>
          <cell r="T77" t="str">
            <v/>
          </cell>
          <cell r="U77" t="str">
            <v/>
          </cell>
          <cell r="V77" t="str">
            <v/>
          </cell>
          <cell r="W77" t="str">
            <v/>
          </cell>
          <cell r="X77" t="str">
            <v/>
          </cell>
          <cell r="Y77" t="str">
            <v/>
          </cell>
          <cell r="Z77" t="str">
            <v/>
          </cell>
          <cell r="AA77" t="str">
            <v/>
          </cell>
          <cell r="AB77" t="str">
            <v/>
          </cell>
          <cell r="AC77" t="str">
            <v/>
          </cell>
          <cell r="AD77" t="str">
            <v/>
          </cell>
          <cell r="AE77" t="str">
            <v/>
          </cell>
          <cell r="AF77" t="str">
            <v/>
          </cell>
          <cell r="AG77" t="str">
            <v/>
          </cell>
          <cell r="AH77">
            <v>0.97599999999999998</v>
          </cell>
          <cell r="AI77" t="str">
            <v/>
          </cell>
          <cell r="AJ77" t="str">
            <v/>
          </cell>
          <cell r="AK77">
            <v>0.80500000000000005</v>
          </cell>
          <cell r="AL77">
            <v>0.78</v>
          </cell>
          <cell r="AM77" t="str">
            <v/>
          </cell>
          <cell r="AN77" t="str">
            <v/>
          </cell>
          <cell r="AO77">
            <v>0.95299999999999996</v>
          </cell>
          <cell r="AP77" t="str">
            <v/>
          </cell>
          <cell r="AQ77" t="str">
            <v/>
          </cell>
          <cell r="AR77" t="str">
            <v/>
          </cell>
          <cell r="AS77" t="str">
            <v/>
          </cell>
          <cell r="AT77">
            <v>0.6</v>
          </cell>
          <cell r="AU77" t="str">
            <v/>
          </cell>
          <cell r="AV77">
            <v>0.91</v>
          </cell>
          <cell r="AW77" t="str">
            <v/>
          </cell>
          <cell r="AX77" t="str">
            <v/>
          </cell>
          <cell r="AY77" t="str">
            <v/>
          </cell>
          <cell r="AZ77" t="str">
            <v/>
          </cell>
          <cell r="BA77" t="str">
            <v/>
          </cell>
        </row>
        <row r="78">
          <cell r="B78">
            <v>12</v>
          </cell>
          <cell r="C78" t="str">
            <v/>
          </cell>
          <cell r="D78" t="str">
            <v/>
          </cell>
          <cell r="E78" t="str">
            <v/>
          </cell>
          <cell r="F78" t="str">
            <v/>
          </cell>
          <cell r="G78" t="str">
            <v/>
          </cell>
          <cell r="H78" t="str">
            <v/>
          </cell>
          <cell r="I78" t="str">
            <v/>
          </cell>
          <cell r="J78" t="str">
            <v/>
          </cell>
          <cell r="K78" t="str">
            <v/>
          </cell>
          <cell r="L78">
            <v>1.25</v>
          </cell>
          <cell r="M78" t="str">
            <v/>
          </cell>
          <cell r="N78" t="str">
            <v/>
          </cell>
          <cell r="O78" t="str">
            <v/>
          </cell>
          <cell r="P78" t="str">
            <v/>
          </cell>
          <cell r="Q78" t="str">
            <v/>
          </cell>
          <cell r="R78" t="str">
            <v/>
          </cell>
          <cell r="S78" t="str">
            <v/>
          </cell>
          <cell r="T78" t="str">
            <v/>
          </cell>
          <cell r="U78" t="str">
            <v/>
          </cell>
          <cell r="V78" t="str">
            <v/>
          </cell>
          <cell r="W78" t="str">
            <v/>
          </cell>
          <cell r="X78" t="str">
            <v/>
          </cell>
          <cell r="Y78" t="str">
            <v/>
          </cell>
          <cell r="Z78" t="str">
            <v/>
          </cell>
          <cell r="AA78" t="str">
            <v/>
          </cell>
          <cell r="AB78" t="str">
            <v/>
          </cell>
          <cell r="AC78" t="str">
            <v/>
          </cell>
          <cell r="AD78" t="str">
            <v/>
          </cell>
          <cell r="AE78" t="str">
            <v/>
          </cell>
          <cell r="AF78" t="str">
            <v/>
          </cell>
          <cell r="AG78" t="str">
            <v/>
          </cell>
          <cell r="AH78">
            <v>0.97599999999999998</v>
          </cell>
          <cell r="AI78" t="str">
            <v/>
          </cell>
          <cell r="AJ78" t="str">
            <v/>
          </cell>
          <cell r="AK78" t="str">
            <v/>
          </cell>
          <cell r="AL78">
            <v>1.2</v>
          </cell>
          <cell r="AM78" t="str">
            <v/>
          </cell>
          <cell r="AN78" t="str">
            <v/>
          </cell>
          <cell r="AO78" t="str">
            <v/>
          </cell>
          <cell r="AP78" t="str">
            <v/>
          </cell>
          <cell r="AQ78" t="str">
            <v/>
          </cell>
          <cell r="AR78" t="str">
            <v/>
          </cell>
          <cell r="AS78" t="str">
            <v/>
          </cell>
          <cell r="AT78">
            <v>0.90800000000000003</v>
          </cell>
          <cell r="AU78" t="str">
            <v/>
          </cell>
          <cell r="AV78">
            <v>1.2270000000000001</v>
          </cell>
          <cell r="AW78" t="str">
            <v/>
          </cell>
          <cell r="AX78" t="str">
            <v/>
          </cell>
          <cell r="AY78" t="str">
            <v/>
          </cell>
          <cell r="AZ78" t="str">
            <v/>
          </cell>
          <cell r="BA78" t="str">
            <v/>
          </cell>
        </row>
        <row r="79">
          <cell r="B79">
            <v>13</v>
          </cell>
          <cell r="C79" t="str">
            <v/>
          </cell>
          <cell r="D79" t="str">
            <v/>
          </cell>
          <cell r="E79" t="str">
            <v/>
          </cell>
          <cell r="F79" t="str">
            <v/>
          </cell>
          <cell r="G79">
            <v>1.224</v>
          </cell>
          <cell r="H79" t="str">
            <v/>
          </cell>
          <cell r="I79" t="str">
            <v/>
          </cell>
          <cell r="J79" t="str">
            <v/>
          </cell>
          <cell r="K79" t="str">
            <v/>
          </cell>
          <cell r="L79">
            <v>0.94</v>
          </cell>
          <cell r="M79" t="str">
            <v/>
          </cell>
          <cell r="N79" t="str">
            <v/>
          </cell>
          <cell r="O79" t="str">
            <v/>
          </cell>
          <cell r="P79" t="str">
            <v/>
          </cell>
          <cell r="Q79" t="str">
            <v/>
          </cell>
          <cell r="R79" t="str">
            <v/>
          </cell>
          <cell r="S79" t="str">
            <v/>
          </cell>
          <cell r="T79" t="str">
            <v/>
          </cell>
          <cell r="U79" t="str">
            <v/>
          </cell>
          <cell r="V79" t="str">
            <v/>
          </cell>
          <cell r="W79" t="str">
            <v/>
          </cell>
          <cell r="X79" t="str">
            <v/>
          </cell>
          <cell r="Y79" t="str">
            <v/>
          </cell>
          <cell r="Z79" t="str">
            <v/>
          </cell>
          <cell r="AA79" t="str">
            <v/>
          </cell>
          <cell r="AB79" t="str">
            <v/>
          </cell>
          <cell r="AC79" t="str">
            <v/>
          </cell>
          <cell r="AD79" t="str">
            <v/>
          </cell>
          <cell r="AE79" t="str">
            <v/>
          </cell>
          <cell r="AF79" t="str">
            <v/>
          </cell>
          <cell r="AG79" t="str">
            <v/>
          </cell>
          <cell r="AH79">
            <v>0.96099999999999997</v>
          </cell>
          <cell r="AI79" t="str">
            <v/>
          </cell>
          <cell r="AJ79" t="str">
            <v/>
          </cell>
          <cell r="AK79">
            <v>1.2949999999999999</v>
          </cell>
          <cell r="AL79">
            <v>1.45</v>
          </cell>
          <cell r="AM79" t="str">
            <v/>
          </cell>
          <cell r="AN79" t="str">
            <v/>
          </cell>
          <cell r="AO79" t="str">
            <v/>
          </cell>
          <cell r="AP79" t="str">
            <v/>
          </cell>
          <cell r="AQ79" t="str">
            <v/>
          </cell>
          <cell r="AR79" t="str">
            <v/>
          </cell>
          <cell r="AS79" t="str">
            <v/>
          </cell>
          <cell r="AT79">
            <v>0.85499999999999998</v>
          </cell>
          <cell r="AU79" t="str">
            <v/>
          </cell>
          <cell r="AV79">
            <v>1.1100000000000001</v>
          </cell>
          <cell r="AW79" t="str">
            <v/>
          </cell>
          <cell r="AX79" t="str">
            <v/>
          </cell>
          <cell r="AY79" t="str">
            <v/>
          </cell>
          <cell r="AZ79" t="str">
            <v/>
          </cell>
          <cell r="BA79" t="str">
            <v/>
          </cell>
        </row>
        <row r="80">
          <cell r="B80">
            <v>14</v>
          </cell>
          <cell r="C80" t="str">
            <v/>
          </cell>
          <cell r="D80" t="str">
            <v/>
          </cell>
          <cell r="E80" t="str">
            <v/>
          </cell>
          <cell r="F80" t="str">
            <v/>
          </cell>
          <cell r="G80">
            <v>1.0940000000000001</v>
          </cell>
          <cell r="H80" t="str">
            <v/>
          </cell>
          <cell r="I80" t="str">
            <v/>
          </cell>
          <cell r="J80" t="str">
            <v/>
          </cell>
          <cell r="K80" t="str">
            <v/>
          </cell>
          <cell r="L80">
            <v>0.91200000000000003</v>
          </cell>
          <cell r="M80" t="str">
            <v/>
          </cell>
          <cell r="N80" t="str">
            <v/>
          </cell>
          <cell r="O80" t="str">
            <v/>
          </cell>
          <cell r="P80" t="str">
            <v/>
          </cell>
          <cell r="Q80" t="str">
            <v/>
          </cell>
          <cell r="R80" t="str">
            <v/>
          </cell>
          <cell r="S80" t="str">
            <v/>
          </cell>
          <cell r="T80" t="str">
            <v/>
          </cell>
          <cell r="U80" t="str">
            <v/>
          </cell>
          <cell r="V80" t="str">
            <v/>
          </cell>
          <cell r="W80" t="str">
            <v/>
          </cell>
          <cell r="X80" t="str">
            <v/>
          </cell>
          <cell r="Y80" t="str">
            <v/>
          </cell>
          <cell r="Z80" t="str">
            <v/>
          </cell>
          <cell r="AA80" t="str">
            <v/>
          </cell>
          <cell r="AB80" t="str">
            <v/>
          </cell>
          <cell r="AC80" t="str">
            <v/>
          </cell>
          <cell r="AD80" t="str">
            <v/>
          </cell>
          <cell r="AE80" t="str">
            <v/>
          </cell>
          <cell r="AF80" t="str">
            <v/>
          </cell>
          <cell r="AG80" t="str">
            <v/>
          </cell>
          <cell r="AH80">
            <v>1.111</v>
          </cell>
          <cell r="AI80" t="str">
            <v/>
          </cell>
          <cell r="AJ80" t="str">
            <v/>
          </cell>
          <cell r="AK80">
            <v>1.1619999999999999</v>
          </cell>
          <cell r="AL80">
            <v>1.355</v>
          </cell>
          <cell r="AM80" t="str">
            <v/>
          </cell>
          <cell r="AN80" t="str">
            <v/>
          </cell>
          <cell r="AO80">
            <v>0.68300000000000005</v>
          </cell>
          <cell r="AP80" t="str">
            <v/>
          </cell>
          <cell r="AQ80" t="str">
            <v/>
          </cell>
          <cell r="AR80" t="str">
            <v/>
          </cell>
          <cell r="AS80" t="str">
            <v/>
          </cell>
          <cell r="AT80">
            <v>1.284</v>
          </cell>
          <cell r="AU80" t="str">
            <v/>
          </cell>
          <cell r="AV80" t="str">
            <v/>
          </cell>
          <cell r="AW80" t="str">
            <v/>
          </cell>
          <cell r="AX80" t="str">
            <v/>
          </cell>
          <cell r="AY80" t="str">
            <v/>
          </cell>
          <cell r="AZ80" t="str">
            <v/>
          </cell>
          <cell r="BA80" t="str">
            <v/>
          </cell>
        </row>
        <row r="81">
          <cell r="B81">
            <v>15</v>
          </cell>
          <cell r="C81" t="str">
            <v/>
          </cell>
          <cell r="D81" t="str">
            <v/>
          </cell>
          <cell r="E81" t="str">
            <v/>
          </cell>
          <cell r="F81" t="str">
            <v/>
          </cell>
          <cell r="G81">
            <v>0.69099999999999995</v>
          </cell>
          <cell r="H81" t="str">
            <v/>
          </cell>
          <cell r="I81" t="str">
            <v/>
          </cell>
          <cell r="J81" t="str">
            <v/>
          </cell>
          <cell r="K81" t="str">
            <v/>
          </cell>
          <cell r="L81">
            <v>1.129</v>
          </cell>
          <cell r="M81" t="str">
            <v/>
          </cell>
          <cell r="N81" t="str">
            <v/>
          </cell>
          <cell r="O81" t="str">
            <v/>
          </cell>
          <cell r="P81" t="str">
            <v/>
          </cell>
          <cell r="Q81">
            <v>0.92900000000000005</v>
          </cell>
          <cell r="R81" t="str">
            <v/>
          </cell>
          <cell r="S81" t="str">
            <v/>
          </cell>
          <cell r="T81" t="str">
            <v/>
          </cell>
          <cell r="U81" t="str">
            <v/>
          </cell>
          <cell r="V81">
            <v>0.748</v>
          </cell>
          <cell r="W81" t="str">
            <v/>
          </cell>
          <cell r="X81" t="str">
            <v/>
          </cell>
          <cell r="Y81" t="str">
            <v/>
          </cell>
          <cell r="Z81" t="str">
            <v/>
          </cell>
          <cell r="AA81" t="str">
            <v/>
          </cell>
          <cell r="AB81" t="str">
            <v/>
          </cell>
          <cell r="AC81" t="str">
            <v/>
          </cell>
          <cell r="AD81" t="str">
            <v/>
          </cell>
          <cell r="AE81" t="str">
            <v/>
          </cell>
          <cell r="AF81" t="str">
            <v/>
          </cell>
          <cell r="AG81" t="str">
            <v/>
          </cell>
          <cell r="AH81">
            <v>0.97599999999999998</v>
          </cell>
          <cell r="AI81" t="str">
            <v/>
          </cell>
          <cell r="AJ81" t="str">
            <v/>
          </cell>
          <cell r="AK81">
            <v>1.1619999999999999</v>
          </cell>
          <cell r="AL81">
            <v>0.71899999999999997</v>
          </cell>
          <cell r="AM81" t="str">
            <v/>
          </cell>
          <cell r="AN81" t="str">
            <v/>
          </cell>
          <cell r="AO81" t="str">
            <v/>
          </cell>
          <cell r="AP81" t="str">
            <v/>
          </cell>
          <cell r="AQ81" t="str">
            <v/>
          </cell>
          <cell r="AR81" t="str">
            <v/>
          </cell>
          <cell r="AS81" t="str">
            <v/>
          </cell>
          <cell r="AT81">
            <v>1.1659999999999999</v>
          </cell>
          <cell r="AU81" t="str">
            <v/>
          </cell>
          <cell r="AV81" t="str">
            <v/>
          </cell>
          <cell r="AW81" t="str">
            <v/>
          </cell>
          <cell r="AX81" t="str">
            <v/>
          </cell>
          <cell r="AY81" t="str">
            <v/>
          </cell>
          <cell r="AZ81" t="str">
            <v/>
          </cell>
          <cell r="BA81" t="str">
            <v/>
          </cell>
        </row>
        <row r="82">
          <cell r="B82">
            <v>16</v>
          </cell>
          <cell r="C82" t="str">
            <v/>
          </cell>
          <cell r="D82" t="str">
            <v/>
          </cell>
          <cell r="E82" t="str">
            <v/>
          </cell>
          <cell r="F82" t="str">
            <v/>
          </cell>
          <cell r="G82">
            <v>0.81299999999999994</v>
          </cell>
          <cell r="H82" t="str">
            <v/>
          </cell>
          <cell r="I82" t="str">
            <v/>
          </cell>
          <cell r="J82" t="str">
            <v/>
          </cell>
          <cell r="K82" t="str">
            <v/>
          </cell>
          <cell r="L82">
            <v>0.98</v>
          </cell>
          <cell r="M82" t="str">
            <v/>
          </cell>
          <cell r="N82" t="str">
            <v/>
          </cell>
          <cell r="O82" t="str">
            <v/>
          </cell>
          <cell r="P82" t="str">
            <v/>
          </cell>
          <cell r="Q82">
            <v>1.093</v>
          </cell>
          <cell r="R82" t="str">
            <v/>
          </cell>
          <cell r="S82" t="str">
            <v/>
          </cell>
          <cell r="T82" t="str">
            <v/>
          </cell>
          <cell r="U82" t="str">
            <v/>
          </cell>
          <cell r="V82">
            <v>1.042</v>
          </cell>
          <cell r="W82" t="str">
            <v/>
          </cell>
          <cell r="X82" t="str">
            <v/>
          </cell>
          <cell r="Y82" t="str">
            <v/>
          </cell>
          <cell r="Z82" t="str">
            <v/>
          </cell>
          <cell r="AA82" t="str">
            <v/>
          </cell>
          <cell r="AB82" t="str">
            <v/>
          </cell>
          <cell r="AC82" t="str">
            <v/>
          </cell>
          <cell r="AD82" t="str">
            <v/>
          </cell>
          <cell r="AE82" t="str">
            <v/>
          </cell>
          <cell r="AF82" t="str">
            <v/>
          </cell>
          <cell r="AG82" t="str">
            <v/>
          </cell>
          <cell r="AH82">
            <v>0.97599999999999998</v>
          </cell>
          <cell r="AI82" t="str">
            <v/>
          </cell>
          <cell r="AJ82" t="str">
            <v/>
          </cell>
          <cell r="AK82">
            <v>1.2210000000000001</v>
          </cell>
          <cell r="AL82">
            <v>0.82099999999999995</v>
          </cell>
          <cell r="AM82" t="str">
            <v/>
          </cell>
          <cell r="AN82" t="str">
            <v/>
          </cell>
          <cell r="AO82">
            <v>1.02</v>
          </cell>
          <cell r="AP82" t="str">
            <v/>
          </cell>
          <cell r="AQ82" t="str">
            <v/>
          </cell>
          <cell r="AR82" t="str">
            <v/>
          </cell>
          <cell r="AS82" t="str">
            <v/>
          </cell>
          <cell r="AT82">
            <v>1.2390000000000001</v>
          </cell>
          <cell r="AU82" t="str">
            <v/>
          </cell>
          <cell r="AV82" t="str">
            <v/>
          </cell>
          <cell r="AW82" t="str">
            <v/>
          </cell>
          <cell r="AX82" t="str">
            <v/>
          </cell>
          <cell r="AY82" t="str">
            <v/>
          </cell>
          <cell r="AZ82" t="str">
            <v/>
          </cell>
          <cell r="BA82" t="str">
            <v/>
          </cell>
        </row>
        <row r="83">
          <cell r="B83">
            <v>17</v>
          </cell>
          <cell r="C83" t="str">
            <v/>
          </cell>
          <cell r="D83" t="str">
            <v/>
          </cell>
          <cell r="E83" t="str">
            <v/>
          </cell>
          <cell r="F83" t="str">
            <v/>
          </cell>
          <cell r="G83">
            <v>0.95699999999999996</v>
          </cell>
          <cell r="H83" t="str">
            <v/>
          </cell>
          <cell r="I83" t="str">
            <v/>
          </cell>
          <cell r="J83" t="str">
            <v/>
          </cell>
          <cell r="K83" t="str">
            <v/>
          </cell>
          <cell r="L83">
            <v>0.81100000000000005</v>
          </cell>
          <cell r="M83" t="str">
            <v/>
          </cell>
          <cell r="N83" t="str">
            <v/>
          </cell>
          <cell r="O83" t="str">
            <v/>
          </cell>
          <cell r="P83" t="str">
            <v/>
          </cell>
          <cell r="Q83" t="str">
            <v/>
          </cell>
          <cell r="R83" t="str">
            <v/>
          </cell>
          <cell r="S83" t="str">
            <v/>
          </cell>
          <cell r="T83" t="str">
            <v/>
          </cell>
          <cell r="U83" t="str">
            <v/>
          </cell>
          <cell r="V83">
            <v>1.1459999999999999</v>
          </cell>
          <cell r="W83" t="str">
            <v/>
          </cell>
          <cell r="X83" t="str">
            <v/>
          </cell>
          <cell r="Y83" t="str">
            <v/>
          </cell>
          <cell r="Z83" t="str">
            <v/>
          </cell>
          <cell r="AA83" t="str">
            <v/>
          </cell>
          <cell r="AB83" t="str">
            <v/>
          </cell>
          <cell r="AC83" t="str">
            <v/>
          </cell>
          <cell r="AD83" t="str">
            <v/>
          </cell>
          <cell r="AE83" t="str">
            <v/>
          </cell>
          <cell r="AF83" t="str">
            <v/>
          </cell>
          <cell r="AG83" t="str">
            <v/>
          </cell>
          <cell r="AH83">
            <v>0.94399999999999995</v>
          </cell>
          <cell r="AI83" t="str">
            <v/>
          </cell>
          <cell r="AJ83" t="str">
            <v/>
          </cell>
          <cell r="AK83">
            <v>1.046</v>
          </cell>
          <cell r="AL83">
            <v>0.95499999999999996</v>
          </cell>
          <cell r="AM83" t="str">
            <v/>
          </cell>
          <cell r="AN83" t="str">
            <v/>
          </cell>
          <cell r="AO83">
            <v>0.97899999999999998</v>
          </cell>
          <cell r="AP83" t="str">
            <v/>
          </cell>
          <cell r="AQ83" t="str">
            <v/>
          </cell>
          <cell r="AR83" t="str">
            <v/>
          </cell>
          <cell r="AS83" t="str">
            <v/>
          </cell>
          <cell r="AT83" t="str">
            <v/>
          </cell>
          <cell r="AU83" t="str">
            <v/>
          </cell>
          <cell r="AV83" t="str">
            <v/>
          </cell>
          <cell r="AW83" t="str">
            <v/>
          </cell>
          <cell r="AX83" t="str">
            <v/>
          </cell>
          <cell r="AY83" t="str">
            <v/>
          </cell>
          <cell r="AZ83" t="str">
            <v/>
          </cell>
          <cell r="BA83" t="str">
            <v/>
          </cell>
        </row>
        <row r="84">
          <cell r="B84">
            <v>18</v>
          </cell>
          <cell r="C84" t="str">
            <v/>
          </cell>
          <cell r="D84" t="str">
            <v/>
          </cell>
          <cell r="E84" t="str">
            <v/>
          </cell>
          <cell r="F84" t="str">
            <v/>
          </cell>
          <cell r="G84">
            <v>0.79700000000000004</v>
          </cell>
          <cell r="H84" t="str">
            <v/>
          </cell>
          <cell r="I84" t="str">
            <v/>
          </cell>
          <cell r="J84" t="str">
            <v/>
          </cell>
          <cell r="K84" t="str">
            <v/>
          </cell>
          <cell r="L84" t="str">
            <v/>
          </cell>
          <cell r="M84" t="str">
            <v/>
          </cell>
          <cell r="N84" t="str">
            <v/>
          </cell>
          <cell r="O84" t="str">
            <v/>
          </cell>
          <cell r="P84" t="str">
            <v/>
          </cell>
          <cell r="Q84" t="str">
            <v/>
          </cell>
          <cell r="R84" t="str">
            <v/>
          </cell>
          <cell r="S84" t="str">
            <v/>
          </cell>
          <cell r="T84" t="str">
            <v/>
          </cell>
          <cell r="U84" t="str">
            <v/>
          </cell>
          <cell r="V84" t="str">
            <v/>
          </cell>
          <cell r="W84" t="str">
            <v/>
          </cell>
          <cell r="X84" t="str">
            <v/>
          </cell>
          <cell r="Y84" t="str">
            <v/>
          </cell>
          <cell r="Z84" t="str">
            <v/>
          </cell>
          <cell r="AA84" t="str">
            <v/>
          </cell>
          <cell r="AB84" t="str">
            <v/>
          </cell>
          <cell r="AC84" t="str">
            <v/>
          </cell>
          <cell r="AD84" t="str">
            <v/>
          </cell>
          <cell r="AE84" t="str">
            <v/>
          </cell>
          <cell r="AF84" t="str">
            <v/>
          </cell>
          <cell r="AG84" t="str">
            <v/>
          </cell>
          <cell r="AH84">
            <v>0.60799999999999998</v>
          </cell>
          <cell r="AI84" t="str">
            <v/>
          </cell>
          <cell r="AJ84" t="str">
            <v/>
          </cell>
          <cell r="AK84" t="str">
            <v/>
          </cell>
          <cell r="AL84">
            <v>1.0680000000000001</v>
          </cell>
          <cell r="AM84" t="str">
            <v/>
          </cell>
          <cell r="AN84" t="str">
            <v/>
          </cell>
          <cell r="AO84">
            <v>0.96299999999999997</v>
          </cell>
          <cell r="AP84" t="str">
            <v/>
          </cell>
          <cell r="AQ84" t="str">
            <v/>
          </cell>
          <cell r="AR84" t="str">
            <v/>
          </cell>
          <cell r="AS84" t="str">
            <v/>
          </cell>
          <cell r="AT84" t="str">
            <v/>
          </cell>
          <cell r="AU84" t="str">
            <v/>
          </cell>
          <cell r="AV84" t="str">
            <v/>
          </cell>
          <cell r="AW84" t="str">
            <v/>
          </cell>
          <cell r="AX84" t="str">
            <v/>
          </cell>
          <cell r="AY84" t="str">
            <v/>
          </cell>
          <cell r="AZ84" t="str">
            <v/>
          </cell>
          <cell r="BA84" t="str">
            <v/>
          </cell>
        </row>
        <row r="85">
          <cell r="B85">
            <v>19</v>
          </cell>
          <cell r="C85" t="str">
            <v/>
          </cell>
          <cell r="D85" t="str">
            <v/>
          </cell>
          <cell r="E85" t="str">
            <v/>
          </cell>
          <cell r="F85" t="str">
            <v/>
          </cell>
          <cell r="G85">
            <v>1.014</v>
          </cell>
          <cell r="H85" t="str">
            <v/>
          </cell>
          <cell r="I85" t="str">
            <v/>
          </cell>
          <cell r="J85" t="str">
            <v/>
          </cell>
          <cell r="K85" t="str">
            <v/>
          </cell>
          <cell r="L85" t="str">
            <v/>
          </cell>
          <cell r="M85" t="str">
            <v/>
          </cell>
          <cell r="N85" t="str">
            <v/>
          </cell>
          <cell r="O85" t="str">
            <v/>
          </cell>
          <cell r="P85" t="str">
            <v/>
          </cell>
          <cell r="Q85" t="str">
            <v/>
          </cell>
          <cell r="R85" t="str">
            <v/>
          </cell>
          <cell r="S85" t="str">
            <v/>
          </cell>
          <cell r="T85" t="str">
            <v/>
          </cell>
          <cell r="U85" t="str">
            <v/>
          </cell>
          <cell r="V85" t="str">
            <v/>
          </cell>
          <cell r="W85" t="str">
            <v/>
          </cell>
          <cell r="X85" t="str">
            <v/>
          </cell>
          <cell r="Y85" t="str">
            <v/>
          </cell>
          <cell r="Z85" t="str">
            <v/>
          </cell>
          <cell r="AA85" t="str">
            <v/>
          </cell>
          <cell r="AB85" t="str">
            <v/>
          </cell>
          <cell r="AC85" t="str">
            <v/>
          </cell>
          <cell r="AD85" t="str">
            <v/>
          </cell>
          <cell r="AE85" t="str">
            <v/>
          </cell>
          <cell r="AF85" t="str">
            <v/>
          </cell>
          <cell r="AG85" t="str">
            <v/>
          </cell>
          <cell r="AH85">
            <v>1.052</v>
          </cell>
          <cell r="AI85" t="str">
            <v/>
          </cell>
          <cell r="AJ85" t="str">
            <v/>
          </cell>
          <cell r="AK85">
            <v>1.286</v>
          </cell>
          <cell r="AL85" t="str">
            <v/>
          </cell>
          <cell r="AM85" t="str">
            <v/>
          </cell>
          <cell r="AN85" t="str">
            <v/>
          </cell>
          <cell r="AO85">
            <v>0.97899999999999998</v>
          </cell>
          <cell r="AP85" t="str">
            <v/>
          </cell>
          <cell r="AQ85" t="str">
            <v/>
          </cell>
          <cell r="AR85" t="str">
            <v/>
          </cell>
          <cell r="AS85" t="str">
            <v/>
          </cell>
          <cell r="AT85" t="str">
            <v/>
          </cell>
          <cell r="AU85" t="str">
            <v/>
          </cell>
          <cell r="AV85" t="str">
            <v/>
          </cell>
          <cell r="AW85" t="str">
            <v/>
          </cell>
          <cell r="AX85" t="str">
            <v/>
          </cell>
          <cell r="AY85" t="str">
            <v/>
          </cell>
          <cell r="AZ85" t="str">
            <v/>
          </cell>
          <cell r="BA85" t="str">
            <v/>
          </cell>
        </row>
        <row r="86">
          <cell r="B86">
            <v>20</v>
          </cell>
          <cell r="C86" t="str">
            <v/>
          </cell>
          <cell r="D86" t="str">
            <v/>
          </cell>
          <cell r="E86" t="str">
            <v/>
          </cell>
          <cell r="F86" t="str">
            <v/>
          </cell>
          <cell r="G86">
            <v>1.4319999999999999</v>
          </cell>
          <cell r="H86" t="str">
            <v/>
          </cell>
          <cell r="I86" t="str">
            <v/>
          </cell>
          <cell r="J86" t="str">
            <v/>
          </cell>
          <cell r="K86" t="str">
            <v/>
          </cell>
          <cell r="L86" t="str">
            <v/>
          </cell>
          <cell r="M86" t="str">
            <v/>
          </cell>
          <cell r="N86" t="str">
            <v/>
          </cell>
          <cell r="O86" t="str">
            <v/>
          </cell>
          <cell r="P86" t="str">
            <v/>
          </cell>
          <cell r="Q86" t="str">
            <v/>
          </cell>
          <cell r="R86" t="str">
            <v/>
          </cell>
          <cell r="S86" t="str">
            <v/>
          </cell>
          <cell r="T86" t="str">
            <v/>
          </cell>
          <cell r="U86" t="str">
            <v/>
          </cell>
          <cell r="V86" t="str">
            <v/>
          </cell>
          <cell r="W86" t="str">
            <v/>
          </cell>
          <cell r="X86" t="str">
            <v/>
          </cell>
          <cell r="Y86" t="str">
            <v/>
          </cell>
          <cell r="Z86" t="str">
            <v/>
          </cell>
          <cell r="AA86" t="str">
            <v/>
          </cell>
          <cell r="AB86" t="str">
            <v/>
          </cell>
          <cell r="AC86" t="str">
            <v/>
          </cell>
          <cell r="AD86" t="str">
            <v/>
          </cell>
          <cell r="AE86" t="str">
            <v/>
          </cell>
          <cell r="AF86" t="str">
            <v/>
          </cell>
          <cell r="AG86" t="str">
            <v/>
          </cell>
          <cell r="AH86" t="str">
            <v/>
          </cell>
          <cell r="AI86" t="str">
            <v/>
          </cell>
          <cell r="AJ86" t="str">
            <v/>
          </cell>
          <cell r="AK86">
            <v>1.143</v>
          </cell>
          <cell r="AL86" t="str">
            <v/>
          </cell>
          <cell r="AM86" t="str">
            <v/>
          </cell>
          <cell r="AN86" t="str">
            <v/>
          </cell>
          <cell r="AO86">
            <v>0.95299999999999996</v>
          </cell>
          <cell r="AP86" t="str">
            <v/>
          </cell>
          <cell r="AQ86" t="str">
            <v/>
          </cell>
          <cell r="AR86" t="str">
            <v/>
          </cell>
          <cell r="AS86" t="str">
            <v/>
          </cell>
          <cell r="AT86" t="str">
            <v/>
          </cell>
          <cell r="AU86" t="str">
            <v/>
          </cell>
          <cell r="AV86" t="str">
            <v/>
          </cell>
          <cell r="AW86" t="str">
            <v/>
          </cell>
          <cell r="AX86" t="str">
            <v/>
          </cell>
          <cell r="AY86" t="str">
            <v/>
          </cell>
          <cell r="AZ86" t="str">
            <v/>
          </cell>
          <cell r="BA86" t="str">
            <v/>
          </cell>
        </row>
        <row r="87">
          <cell r="B87">
            <v>21</v>
          </cell>
          <cell r="C87" t="str">
            <v/>
          </cell>
          <cell r="D87" t="str">
            <v/>
          </cell>
          <cell r="E87" t="str">
            <v/>
          </cell>
          <cell r="F87" t="str">
            <v/>
          </cell>
          <cell r="G87">
            <v>1.2050000000000001</v>
          </cell>
          <cell r="H87" t="str">
            <v/>
          </cell>
          <cell r="I87" t="str">
            <v/>
          </cell>
          <cell r="J87" t="str">
            <v/>
          </cell>
          <cell r="K87" t="str">
            <v/>
          </cell>
          <cell r="L87" t="str">
            <v/>
          </cell>
          <cell r="M87" t="str">
            <v/>
          </cell>
          <cell r="N87" t="str">
            <v/>
          </cell>
          <cell r="O87" t="str">
            <v/>
          </cell>
          <cell r="P87" t="str">
            <v/>
          </cell>
          <cell r="Q87" t="str">
            <v/>
          </cell>
          <cell r="R87" t="str">
            <v/>
          </cell>
          <cell r="S87" t="str">
            <v/>
          </cell>
          <cell r="T87" t="str">
            <v/>
          </cell>
          <cell r="U87" t="str">
            <v/>
          </cell>
          <cell r="V87" t="str">
            <v/>
          </cell>
          <cell r="W87" t="str">
            <v/>
          </cell>
          <cell r="X87" t="str">
            <v/>
          </cell>
          <cell r="Y87" t="str">
            <v/>
          </cell>
          <cell r="Z87" t="str">
            <v/>
          </cell>
          <cell r="AA87" t="str">
            <v/>
          </cell>
          <cell r="AB87" t="str">
            <v/>
          </cell>
          <cell r="AC87" t="str">
            <v/>
          </cell>
          <cell r="AD87" t="str">
            <v/>
          </cell>
          <cell r="AE87" t="str">
            <v/>
          </cell>
          <cell r="AF87" t="str">
            <v/>
          </cell>
          <cell r="AG87" t="str">
            <v/>
          </cell>
          <cell r="AH87">
            <v>1.125</v>
          </cell>
          <cell r="AI87" t="str">
            <v/>
          </cell>
          <cell r="AJ87" t="str">
            <v/>
          </cell>
          <cell r="AK87">
            <v>1.286</v>
          </cell>
          <cell r="AL87" t="str">
            <v/>
          </cell>
          <cell r="AM87" t="str">
            <v/>
          </cell>
          <cell r="AN87" t="str">
            <v/>
          </cell>
          <cell r="AO87" t="str">
            <v/>
          </cell>
          <cell r="AP87" t="str">
            <v/>
          </cell>
          <cell r="AQ87" t="str">
            <v/>
          </cell>
          <cell r="AR87" t="str">
            <v/>
          </cell>
          <cell r="AS87" t="str">
            <v/>
          </cell>
          <cell r="AT87" t="str">
            <v/>
          </cell>
          <cell r="AU87" t="str">
            <v/>
          </cell>
          <cell r="AV87" t="str">
            <v/>
          </cell>
          <cell r="AW87" t="str">
            <v/>
          </cell>
          <cell r="AX87" t="str">
            <v/>
          </cell>
          <cell r="AY87" t="str">
            <v/>
          </cell>
          <cell r="AZ87" t="str">
            <v/>
          </cell>
          <cell r="BA87" t="str">
            <v/>
          </cell>
        </row>
        <row r="88">
          <cell r="B88">
            <v>22</v>
          </cell>
          <cell r="C88" t="str">
            <v/>
          </cell>
          <cell r="D88" t="str">
            <v/>
          </cell>
          <cell r="E88" t="str">
            <v/>
          </cell>
          <cell r="F88" t="str">
            <v/>
          </cell>
          <cell r="G88">
            <v>1.175</v>
          </cell>
          <cell r="H88" t="str">
            <v/>
          </cell>
          <cell r="I88" t="str">
            <v/>
          </cell>
          <cell r="J88" t="str">
            <v/>
          </cell>
          <cell r="K88" t="str">
            <v/>
          </cell>
          <cell r="L88" t="str">
            <v/>
          </cell>
          <cell r="M88" t="str">
            <v/>
          </cell>
          <cell r="N88" t="str">
            <v/>
          </cell>
          <cell r="O88" t="str">
            <v/>
          </cell>
          <cell r="P88" t="str">
            <v/>
          </cell>
          <cell r="Q88" t="str">
            <v/>
          </cell>
          <cell r="R88" t="str">
            <v/>
          </cell>
          <cell r="S88" t="str">
            <v/>
          </cell>
          <cell r="T88" t="str">
            <v/>
          </cell>
          <cell r="U88" t="str">
            <v/>
          </cell>
          <cell r="V88" t="str">
            <v/>
          </cell>
          <cell r="W88" t="str">
            <v/>
          </cell>
          <cell r="X88" t="str">
            <v/>
          </cell>
          <cell r="Y88" t="str">
            <v/>
          </cell>
          <cell r="Z88" t="str">
            <v/>
          </cell>
          <cell r="AA88" t="str">
            <v/>
          </cell>
          <cell r="AB88" t="str">
            <v/>
          </cell>
          <cell r="AC88" t="str">
            <v/>
          </cell>
          <cell r="AD88" t="str">
            <v/>
          </cell>
          <cell r="AE88" t="str">
            <v/>
          </cell>
          <cell r="AF88" t="str">
            <v/>
          </cell>
          <cell r="AG88" t="str">
            <v/>
          </cell>
          <cell r="AH88">
            <v>0.73799999999999999</v>
          </cell>
          <cell r="AI88" t="str">
            <v/>
          </cell>
          <cell r="AJ88" t="str">
            <v/>
          </cell>
          <cell r="AK88" t="str">
            <v/>
          </cell>
          <cell r="AL88" t="str">
            <v/>
          </cell>
          <cell r="AM88" t="str">
            <v/>
          </cell>
          <cell r="AN88" t="str">
            <v/>
          </cell>
          <cell r="AO88" t="str">
            <v/>
          </cell>
          <cell r="AP88" t="str">
            <v/>
          </cell>
          <cell r="AQ88" t="str">
            <v/>
          </cell>
          <cell r="AR88" t="str">
            <v/>
          </cell>
          <cell r="AS88" t="str">
            <v/>
          </cell>
          <cell r="AT88" t="str">
            <v/>
          </cell>
          <cell r="AU88" t="str">
            <v/>
          </cell>
          <cell r="AV88" t="str">
            <v/>
          </cell>
          <cell r="AW88" t="str">
            <v/>
          </cell>
          <cell r="AX88" t="str">
            <v/>
          </cell>
          <cell r="AY88" t="str">
            <v/>
          </cell>
          <cell r="AZ88" t="str">
            <v/>
          </cell>
          <cell r="BA88" t="str">
            <v/>
          </cell>
        </row>
        <row r="89">
          <cell r="B89">
            <v>23</v>
          </cell>
          <cell r="C89" t="str">
            <v/>
          </cell>
          <cell r="D89" t="str">
            <v/>
          </cell>
          <cell r="E89" t="str">
            <v/>
          </cell>
          <cell r="F89" t="str">
            <v/>
          </cell>
          <cell r="G89">
            <v>0.89900000000000002</v>
          </cell>
          <cell r="H89" t="str">
            <v/>
          </cell>
          <cell r="I89" t="str">
            <v/>
          </cell>
          <cell r="J89" t="str">
            <v/>
          </cell>
          <cell r="K89" t="str">
            <v/>
          </cell>
          <cell r="L89" t="str">
            <v/>
          </cell>
          <cell r="M89" t="str">
            <v/>
          </cell>
          <cell r="N89" t="str">
            <v/>
          </cell>
          <cell r="O89" t="str">
            <v/>
          </cell>
          <cell r="P89" t="str">
            <v/>
          </cell>
          <cell r="Q89" t="str">
            <v/>
          </cell>
          <cell r="R89" t="str">
            <v/>
          </cell>
          <cell r="S89" t="str">
            <v/>
          </cell>
          <cell r="T89" t="str">
            <v/>
          </cell>
          <cell r="U89" t="str">
            <v/>
          </cell>
          <cell r="V89" t="str">
            <v/>
          </cell>
          <cell r="W89" t="str">
            <v/>
          </cell>
          <cell r="X89" t="str">
            <v/>
          </cell>
          <cell r="Y89" t="str">
            <v/>
          </cell>
          <cell r="Z89" t="str">
            <v/>
          </cell>
          <cell r="AA89" t="str">
            <v/>
          </cell>
          <cell r="AB89" t="str">
            <v/>
          </cell>
          <cell r="AC89" t="str">
            <v/>
          </cell>
          <cell r="AD89" t="str">
            <v/>
          </cell>
          <cell r="AE89" t="str">
            <v/>
          </cell>
          <cell r="AF89" t="str">
            <v/>
          </cell>
          <cell r="AG89" t="str">
            <v/>
          </cell>
          <cell r="AH89" t="str">
            <v/>
          </cell>
          <cell r="AI89" t="str">
            <v/>
          </cell>
          <cell r="AJ89" t="str">
            <v/>
          </cell>
          <cell r="AK89" t="str">
            <v/>
          </cell>
          <cell r="AL89" t="str">
            <v/>
          </cell>
          <cell r="AM89" t="str">
            <v/>
          </cell>
          <cell r="AN89" t="str">
            <v/>
          </cell>
          <cell r="AO89" t="str">
            <v/>
          </cell>
          <cell r="AP89" t="str">
            <v/>
          </cell>
          <cell r="AQ89" t="str">
            <v/>
          </cell>
          <cell r="AR89" t="str">
            <v/>
          </cell>
          <cell r="AS89" t="str">
            <v/>
          </cell>
          <cell r="AT89" t="str">
            <v/>
          </cell>
          <cell r="AU89" t="str">
            <v/>
          </cell>
          <cell r="AV89" t="str">
            <v/>
          </cell>
          <cell r="AW89" t="str">
            <v/>
          </cell>
          <cell r="AX89" t="str">
            <v/>
          </cell>
          <cell r="AY89" t="str">
            <v/>
          </cell>
          <cell r="AZ89" t="str">
            <v/>
          </cell>
          <cell r="BA89" t="str">
            <v/>
          </cell>
        </row>
        <row r="90">
          <cell r="B90">
            <v>24</v>
          </cell>
          <cell r="C90" t="str">
            <v/>
          </cell>
          <cell r="D90" t="str">
            <v/>
          </cell>
          <cell r="E90" t="str">
            <v/>
          </cell>
          <cell r="F90" t="str">
            <v/>
          </cell>
          <cell r="G90">
            <v>1.054</v>
          </cell>
          <cell r="H90" t="str">
            <v/>
          </cell>
          <cell r="I90" t="str">
            <v/>
          </cell>
          <cell r="J90" t="str">
            <v/>
          </cell>
          <cell r="K90" t="str">
            <v/>
          </cell>
          <cell r="L90" t="str">
            <v/>
          </cell>
          <cell r="M90" t="str">
            <v/>
          </cell>
          <cell r="N90" t="str">
            <v/>
          </cell>
          <cell r="O90" t="str">
            <v/>
          </cell>
          <cell r="P90" t="str">
            <v/>
          </cell>
          <cell r="Q90" t="str">
            <v/>
          </cell>
          <cell r="R90" t="str">
            <v/>
          </cell>
          <cell r="S90" t="str">
            <v/>
          </cell>
          <cell r="T90" t="str">
            <v/>
          </cell>
          <cell r="U90" t="str">
            <v/>
          </cell>
          <cell r="V90" t="str">
            <v/>
          </cell>
          <cell r="W90" t="str">
            <v/>
          </cell>
          <cell r="X90" t="str">
            <v/>
          </cell>
          <cell r="Y90" t="str">
            <v/>
          </cell>
          <cell r="Z90" t="str">
            <v/>
          </cell>
          <cell r="AA90" t="str">
            <v/>
          </cell>
          <cell r="AB90" t="str">
            <v/>
          </cell>
          <cell r="AC90" t="str">
            <v/>
          </cell>
          <cell r="AD90" t="str">
            <v/>
          </cell>
          <cell r="AE90" t="str">
            <v/>
          </cell>
          <cell r="AF90" t="str">
            <v/>
          </cell>
          <cell r="AG90" t="str">
            <v/>
          </cell>
          <cell r="AH90" t="str">
            <v/>
          </cell>
          <cell r="AI90" t="str">
            <v/>
          </cell>
          <cell r="AJ90" t="str">
            <v/>
          </cell>
          <cell r="AK90" t="str">
            <v/>
          </cell>
          <cell r="AL90" t="str">
            <v/>
          </cell>
          <cell r="AM90" t="str">
            <v/>
          </cell>
          <cell r="AN90" t="str">
            <v/>
          </cell>
          <cell r="AO90" t="str">
            <v/>
          </cell>
          <cell r="AP90" t="str">
            <v/>
          </cell>
          <cell r="AQ90" t="str">
            <v/>
          </cell>
          <cell r="AR90" t="str">
            <v/>
          </cell>
          <cell r="AS90" t="str">
            <v/>
          </cell>
          <cell r="AT90" t="str">
            <v/>
          </cell>
          <cell r="AU90" t="str">
            <v/>
          </cell>
          <cell r="AV90" t="str">
            <v/>
          </cell>
          <cell r="AW90" t="str">
            <v/>
          </cell>
          <cell r="AX90" t="str">
            <v/>
          </cell>
          <cell r="AY90" t="str">
            <v/>
          </cell>
          <cell r="AZ90" t="str">
            <v/>
          </cell>
          <cell r="BA90" t="str">
            <v/>
          </cell>
        </row>
        <row r="91">
          <cell r="B91">
            <v>25</v>
          </cell>
          <cell r="C91" t="str">
            <v/>
          </cell>
          <cell r="D91" t="str">
            <v/>
          </cell>
          <cell r="E91" t="str">
            <v/>
          </cell>
          <cell r="F91" t="str">
            <v/>
          </cell>
          <cell r="G91">
            <v>0.89600000000000002</v>
          </cell>
          <cell r="H91" t="str">
            <v/>
          </cell>
          <cell r="I91" t="str">
            <v/>
          </cell>
          <cell r="J91" t="str">
            <v/>
          </cell>
          <cell r="K91" t="str">
            <v/>
          </cell>
          <cell r="L91" t="str">
            <v/>
          </cell>
          <cell r="M91" t="str">
            <v/>
          </cell>
          <cell r="N91" t="str">
            <v/>
          </cell>
          <cell r="O91" t="str">
            <v/>
          </cell>
          <cell r="P91" t="str">
            <v/>
          </cell>
          <cell r="Q91" t="str">
            <v/>
          </cell>
          <cell r="R91" t="str">
            <v/>
          </cell>
          <cell r="S91" t="str">
            <v/>
          </cell>
          <cell r="T91" t="str">
            <v/>
          </cell>
          <cell r="U91" t="str">
            <v/>
          </cell>
          <cell r="V91" t="str">
            <v/>
          </cell>
          <cell r="W91" t="str">
            <v/>
          </cell>
          <cell r="X91" t="str">
            <v/>
          </cell>
          <cell r="Y91" t="str">
            <v/>
          </cell>
          <cell r="Z91" t="str">
            <v/>
          </cell>
          <cell r="AA91" t="str">
            <v/>
          </cell>
          <cell r="AB91" t="str">
            <v/>
          </cell>
          <cell r="AC91" t="str">
            <v/>
          </cell>
          <cell r="AD91" t="str">
            <v/>
          </cell>
          <cell r="AE91" t="str">
            <v/>
          </cell>
          <cell r="AF91" t="str">
            <v/>
          </cell>
          <cell r="AG91" t="str">
            <v/>
          </cell>
          <cell r="AH91" t="str">
            <v/>
          </cell>
          <cell r="AI91" t="str">
            <v/>
          </cell>
          <cell r="AJ91" t="str">
            <v/>
          </cell>
          <cell r="AK91" t="str">
            <v/>
          </cell>
          <cell r="AL91" t="str">
            <v/>
          </cell>
          <cell r="AM91" t="str">
            <v/>
          </cell>
          <cell r="AN91" t="str">
            <v/>
          </cell>
          <cell r="AO91" t="str">
            <v/>
          </cell>
          <cell r="AP91" t="str">
            <v/>
          </cell>
          <cell r="AQ91" t="str">
            <v/>
          </cell>
          <cell r="AR91" t="str">
            <v/>
          </cell>
          <cell r="AS91" t="str">
            <v/>
          </cell>
          <cell r="AT91" t="str">
            <v/>
          </cell>
          <cell r="AU91" t="str">
            <v/>
          </cell>
          <cell r="AV91" t="str">
            <v/>
          </cell>
          <cell r="AW91" t="str">
            <v/>
          </cell>
          <cell r="AX91" t="str">
            <v/>
          </cell>
          <cell r="AY91" t="str">
            <v/>
          </cell>
          <cell r="AZ91" t="str">
            <v/>
          </cell>
          <cell r="BA91" t="str">
            <v/>
          </cell>
        </row>
        <row r="92">
          <cell r="B92">
            <v>26</v>
          </cell>
          <cell r="C92" t="str">
            <v/>
          </cell>
          <cell r="D92" t="str">
            <v/>
          </cell>
          <cell r="E92" t="str">
            <v/>
          </cell>
          <cell r="F92" t="str">
            <v/>
          </cell>
          <cell r="G92">
            <v>1.1319999999999999</v>
          </cell>
          <cell r="H92" t="str">
            <v/>
          </cell>
          <cell r="I92" t="str">
            <v/>
          </cell>
          <cell r="J92" t="str">
            <v/>
          </cell>
          <cell r="K92" t="str">
            <v/>
          </cell>
          <cell r="L92" t="str">
            <v/>
          </cell>
          <cell r="M92" t="str">
            <v/>
          </cell>
          <cell r="N92" t="str">
            <v/>
          </cell>
          <cell r="O92" t="str">
            <v/>
          </cell>
          <cell r="P92" t="str">
            <v/>
          </cell>
          <cell r="Q92" t="str">
            <v/>
          </cell>
          <cell r="R92" t="str">
            <v/>
          </cell>
          <cell r="S92" t="str">
            <v/>
          </cell>
          <cell r="T92" t="str">
            <v/>
          </cell>
          <cell r="U92" t="str">
            <v/>
          </cell>
          <cell r="V92" t="str">
            <v/>
          </cell>
          <cell r="W92" t="str">
            <v/>
          </cell>
          <cell r="X92" t="str">
            <v/>
          </cell>
          <cell r="Y92" t="str">
            <v/>
          </cell>
          <cell r="Z92" t="str">
            <v/>
          </cell>
          <cell r="AA92" t="str">
            <v/>
          </cell>
          <cell r="AB92" t="str">
            <v/>
          </cell>
          <cell r="AC92" t="str">
            <v/>
          </cell>
          <cell r="AD92" t="str">
            <v/>
          </cell>
          <cell r="AE92" t="str">
            <v/>
          </cell>
          <cell r="AF92" t="str">
            <v/>
          </cell>
          <cell r="AG92" t="str">
            <v/>
          </cell>
          <cell r="AH92" t="str">
            <v/>
          </cell>
          <cell r="AI92" t="str">
            <v/>
          </cell>
          <cell r="AJ92" t="str">
            <v/>
          </cell>
          <cell r="AK92" t="str">
            <v/>
          </cell>
          <cell r="AL92" t="str">
            <v/>
          </cell>
          <cell r="AM92" t="str">
            <v/>
          </cell>
          <cell r="AN92" t="str">
            <v/>
          </cell>
          <cell r="AO92" t="str">
            <v/>
          </cell>
          <cell r="AP92" t="str">
            <v/>
          </cell>
          <cell r="AQ92" t="str">
            <v/>
          </cell>
          <cell r="AR92" t="str">
            <v/>
          </cell>
          <cell r="AS92" t="str">
            <v/>
          </cell>
          <cell r="AT92" t="str">
            <v/>
          </cell>
          <cell r="AU92" t="str">
            <v/>
          </cell>
          <cell r="AV92" t="str">
            <v/>
          </cell>
          <cell r="AW92" t="str">
            <v/>
          </cell>
          <cell r="AX92" t="str">
            <v/>
          </cell>
          <cell r="AY92" t="str">
            <v/>
          </cell>
          <cell r="AZ92" t="str">
            <v/>
          </cell>
          <cell r="BA92" t="str">
            <v/>
          </cell>
        </row>
        <row r="93">
          <cell r="B93">
            <v>27</v>
          </cell>
          <cell r="C93" t="str">
            <v/>
          </cell>
          <cell r="D93" t="str">
            <v/>
          </cell>
          <cell r="E93" t="str">
            <v/>
          </cell>
          <cell r="F93" t="str">
            <v/>
          </cell>
          <cell r="G93">
            <v>1.329</v>
          </cell>
          <cell r="H93" t="str">
            <v/>
          </cell>
          <cell r="I93" t="str">
            <v/>
          </cell>
          <cell r="J93" t="str">
            <v/>
          </cell>
          <cell r="K93" t="str">
            <v/>
          </cell>
          <cell r="L93" t="str">
            <v/>
          </cell>
          <cell r="M93" t="str">
            <v/>
          </cell>
          <cell r="N93" t="str">
            <v/>
          </cell>
          <cell r="O93" t="str">
            <v/>
          </cell>
          <cell r="P93" t="str">
            <v/>
          </cell>
          <cell r="Q93" t="str">
            <v/>
          </cell>
          <cell r="R93" t="str">
            <v/>
          </cell>
          <cell r="S93" t="str">
            <v/>
          </cell>
          <cell r="T93" t="str">
            <v/>
          </cell>
          <cell r="U93" t="str">
            <v/>
          </cell>
          <cell r="V93" t="str">
            <v/>
          </cell>
          <cell r="W93" t="str">
            <v/>
          </cell>
          <cell r="X93" t="str">
            <v/>
          </cell>
          <cell r="Y93" t="str">
            <v/>
          </cell>
          <cell r="Z93" t="str">
            <v/>
          </cell>
          <cell r="AA93" t="str">
            <v/>
          </cell>
          <cell r="AB93" t="str">
            <v/>
          </cell>
          <cell r="AC93" t="str">
            <v/>
          </cell>
          <cell r="AD93" t="str">
            <v/>
          </cell>
          <cell r="AE93" t="str">
            <v/>
          </cell>
          <cell r="AF93" t="str">
            <v/>
          </cell>
          <cell r="AG93" t="str">
            <v/>
          </cell>
          <cell r="AH93" t="str">
            <v/>
          </cell>
          <cell r="AI93" t="str">
            <v/>
          </cell>
          <cell r="AJ93" t="str">
            <v/>
          </cell>
          <cell r="AK93">
            <v>1.35</v>
          </cell>
          <cell r="AL93" t="str">
            <v/>
          </cell>
          <cell r="AM93" t="str">
            <v/>
          </cell>
          <cell r="AN93" t="str">
            <v/>
          </cell>
          <cell r="AO93" t="str">
            <v/>
          </cell>
          <cell r="AP93" t="str">
            <v/>
          </cell>
          <cell r="AQ93" t="str">
            <v/>
          </cell>
          <cell r="AR93" t="str">
            <v/>
          </cell>
          <cell r="AS93" t="str">
            <v/>
          </cell>
          <cell r="AT93" t="str">
            <v/>
          </cell>
          <cell r="AU93" t="str">
            <v/>
          </cell>
          <cell r="AV93" t="str">
            <v/>
          </cell>
          <cell r="AW93" t="str">
            <v/>
          </cell>
          <cell r="AX93" t="str">
            <v/>
          </cell>
          <cell r="AY93" t="str">
            <v/>
          </cell>
          <cell r="AZ93" t="str">
            <v/>
          </cell>
          <cell r="BA93" t="str">
            <v/>
          </cell>
        </row>
        <row r="94">
          <cell r="B94">
            <v>28</v>
          </cell>
          <cell r="C94" t="str">
            <v/>
          </cell>
          <cell r="D94" t="str">
            <v/>
          </cell>
          <cell r="E94" t="str">
            <v/>
          </cell>
          <cell r="F94" t="str">
            <v/>
          </cell>
          <cell r="G94">
            <v>0.83499999999999996</v>
          </cell>
          <cell r="H94" t="str">
            <v/>
          </cell>
          <cell r="I94" t="str">
            <v/>
          </cell>
          <cell r="J94" t="str">
            <v/>
          </cell>
          <cell r="K94" t="str">
            <v/>
          </cell>
          <cell r="L94" t="str">
            <v/>
          </cell>
          <cell r="M94" t="str">
            <v/>
          </cell>
          <cell r="N94" t="str">
            <v/>
          </cell>
          <cell r="O94" t="str">
            <v/>
          </cell>
          <cell r="P94" t="str">
            <v/>
          </cell>
          <cell r="Q94" t="str">
            <v/>
          </cell>
          <cell r="R94" t="str">
            <v/>
          </cell>
          <cell r="S94" t="str">
            <v/>
          </cell>
          <cell r="T94" t="str">
            <v/>
          </cell>
          <cell r="U94" t="str">
            <v/>
          </cell>
          <cell r="V94" t="str">
            <v/>
          </cell>
          <cell r="W94" t="str">
            <v/>
          </cell>
          <cell r="X94" t="str">
            <v/>
          </cell>
          <cell r="Y94" t="str">
            <v/>
          </cell>
          <cell r="Z94" t="str">
            <v/>
          </cell>
          <cell r="AA94" t="str">
            <v/>
          </cell>
          <cell r="AB94" t="str">
            <v/>
          </cell>
          <cell r="AC94" t="str">
            <v/>
          </cell>
          <cell r="AD94" t="str">
            <v/>
          </cell>
          <cell r="AE94" t="str">
            <v/>
          </cell>
          <cell r="AF94" t="str">
            <v/>
          </cell>
          <cell r="AG94" t="str">
            <v/>
          </cell>
          <cell r="AH94" t="str">
            <v/>
          </cell>
          <cell r="AI94" t="str">
            <v/>
          </cell>
          <cell r="AJ94" t="str">
            <v/>
          </cell>
          <cell r="AK94">
            <v>1.4850000000000001</v>
          </cell>
          <cell r="AL94" t="str">
            <v/>
          </cell>
          <cell r="AM94" t="str">
            <v/>
          </cell>
          <cell r="AN94" t="str">
            <v/>
          </cell>
          <cell r="AO94" t="str">
            <v/>
          </cell>
          <cell r="AP94" t="str">
            <v/>
          </cell>
          <cell r="AQ94" t="str">
            <v/>
          </cell>
          <cell r="AR94" t="str">
            <v/>
          </cell>
          <cell r="AS94" t="str">
            <v/>
          </cell>
          <cell r="AT94" t="str">
            <v/>
          </cell>
          <cell r="AU94" t="str">
            <v/>
          </cell>
          <cell r="AV94" t="str">
            <v/>
          </cell>
          <cell r="AW94" t="str">
            <v/>
          </cell>
          <cell r="AX94" t="str">
            <v/>
          </cell>
          <cell r="AY94" t="str">
            <v/>
          </cell>
          <cell r="AZ94" t="str">
            <v/>
          </cell>
          <cell r="BA94" t="str">
            <v/>
          </cell>
        </row>
        <row r="95">
          <cell r="B95">
            <v>29</v>
          </cell>
          <cell r="C95" t="str">
            <v/>
          </cell>
          <cell r="D95" t="str">
            <v/>
          </cell>
          <cell r="E95" t="str">
            <v/>
          </cell>
          <cell r="F95" t="str">
            <v/>
          </cell>
          <cell r="G95">
            <v>1.109</v>
          </cell>
          <cell r="H95" t="str">
            <v/>
          </cell>
          <cell r="I95" t="str">
            <v/>
          </cell>
          <cell r="J95" t="str">
            <v/>
          </cell>
          <cell r="K95" t="str">
            <v/>
          </cell>
          <cell r="L95" t="str">
            <v/>
          </cell>
          <cell r="M95" t="str">
            <v/>
          </cell>
          <cell r="N95" t="str">
            <v/>
          </cell>
          <cell r="O95" t="str">
            <v/>
          </cell>
          <cell r="P95" t="str">
            <v/>
          </cell>
          <cell r="Q95" t="str">
            <v/>
          </cell>
          <cell r="R95" t="str">
            <v/>
          </cell>
          <cell r="S95" t="str">
            <v/>
          </cell>
          <cell r="T95" t="str">
            <v/>
          </cell>
          <cell r="U95" t="str">
            <v/>
          </cell>
          <cell r="V95" t="str">
            <v/>
          </cell>
          <cell r="W95" t="str">
            <v/>
          </cell>
          <cell r="X95" t="str">
            <v/>
          </cell>
          <cell r="Y95" t="str">
            <v/>
          </cell>
          <cell r="Z95" t="str">
            <v/>
          </cell>
          <cell r="AA95" t="str">
            <v/>
          </cell>
          <cell r="AB95" t="str">
            <v/>
          </cell>
          <cell r="AC95" t="str">
            <v/>
          </cell>
          <cell r="AD95" t="str">
            <v/>
          </cell>
          <cell r="AE95" t="str">
            <v/>
          </cell>
          <cell r="AF95" t="str">
            <v/>
          </cell>
          <cell r="AG95" t="str">
            <v/>
          </cell>
          <cell r="AH95" t="str">
            <v/>
          </cell>
          <cell r="AI95" t="str">
            <v/>
          </cell>
          <cell r="AJ95" t="str">
            <v/>
          </cell>
          <cell r="AK95">
            <v>1.4850000000000001</v>
          </cell>
          <cell r="AL95" t="str">
            <v/>
          </cell>
          <cell r="AM95" t="str">
            <v/>
          </cell>
          <cell r="AN95" t="str">
            <v/>
          </cell>
          <cell r="AO95" t="str">
            <v/>
          </cell>
          <cell r="AP95" t="str">
            <v/>
          </cell>
          <cell r="AQ95" t="str">
            <v/>
          </cell>
          <cell r="AR95" t="str">
            <v/>
          </cell>
          <cell r="AS95" t="str">
            <v/>
          </cell>
          <cell r="AT95" t="str">
            <v/>
          </cell>
          <cell r="AU95" t="str">
            <v/>
          </cell>
          <cell r="AV95" t="str">
            <v/>
          </cell>
          <cell r="AW95" t="str">
            <v/>
          </cell>
          <cell r="AX95" t="str">
            <v/>
          </cell>
          <cell r="AY95" t="str">
            <v/>
          </cell>
          <cell r="AZ95" t="str">
            <v/>
          </cell>
          <cell r="BA95" t="str">
            <v/>
          </cell>
        </row>
        <row r="96">
          <cell r="B96">
            <v>30</v>
          </cell>
          <cell r="C96" t="str">
            <v/>
          </cell>
          <cell r="D96" t="str">
            <v/>
          </cell>
          <cell r="E96" t="str">
            <v/>
          </cell>
          <cell r="F96" t="str">
            <v/>
          </cell>
          <cell r="G96">
            <v>0.88800000000000001</v>
          </cell>
          <cell r="H96" t="str">
            <v/>
          </cell>
          <cell r="I96" t="str">
            <v/>
          </cell>
          <cell r="J96" t="str">
            <v/>
          </cell>
          <cell r="K96" t="str">
            <v/>
          </cell>
          <cell r="L96" t="str">
            <v/>
          </cell>
          <cell r="M96" t="str">
            <v/>
          </cell>
          <cell r="N96" t="str">
            <v/>
          </cell>
          <cell r="O96" t="str">
            <v/>
          </cell>
          <cell r="P96" t="str">
            <v/>
          </cell>
          <cell r="Q96" t="str">
            <v/>
          </cell>
          <cell r="R96" t="str">
            <v/>
          </cell>
          <cell r="S96" t="str">
            <v/>
          </cell>
          <cell r="T96" t="str">
            <v/>
          </cell>
          <cell r="U96" t="str">
            <v/>
          </cell>
          <cell r="V96" t="str">
            <v/>
          </cell>
          <cell r="W96" t="str">
            <v/>
          </cell>
          <cell r="X96" t="str">
            <v/>
          </cell>
          <cell r="Y96" t="str">
            <v/>
          </cell>
          <cell r="Z96" t="str">
            <v/>
          </cell>
          <cell r="AA96" t="str">
            <v/>
          </cell>
          <cell r="AB96" t="str">
            <v/>
          </cell>
          <cell r="AC96" t="str">
            <v/>
          </cell>
          <cell r="AD96" t="str">
            <v/>
          </cell>
          <cell r="AE96" t="str">
            <v/>
          </cell>
          <cell r="AF96" t="str">
            <v/>
          </cell>
          <cell r="AG96" t="str">
            <v/>
          </cell>
          <cell r="AH96" t="str">
            <v/>
          </cell>
          <cell r="AI96" t="str">
            <v/>
          </cell>
          <cell r="AJ96" t="str">
            <v/>
          </cell>
          <cell r="AK96">
            <v>1.4850000000000001</v>
          </cell>
          <cell r="AL96" t="str">
            <v/>
          </cell>
          <cell r="AM96" t="str">
            <v/>
          </cell>
          <cell r="AN96" t="str">
            <v/>
          </cell>
          <cell r="AO96" t="str">
            <v/>
          </cell>
          <cell r="AP96" t="str">
            <v/>
          </cell>
          <cell r="AQ96" t="str">
            <v/>
          </cell>
          <cell r="AR96" t="str">
            <v/>
          </cell>
          <cell r="AS96" t="str">
            <v/>
          </cell>
          <cell r="AT96" t="str">
            <v/>
          </cell>
          <cell r="AU96" t="str">
            <v/>
          </cell>
          <cell r="AV96" t="str">
            <v/>
          </cell>
          <cell r="AW96" t="str">
            <v/>
          </cell>
          <cell r="AX96" t="str">
            <v/>
          </cell>
          <cell r="AY96" t="str">
            <v/>
          </cell>
          <cell r="AZ96" t="str">
            <v/>
          </cell>
          <cell r="BA96" t="str">
            <v/>
          </cell>
        </row>
        <row r="97">
          <cell r="B97">
            <v>31</v>
          </cell>
          <cell r="C97" t="str">
            <v/>
          </cell>
          <cell r="D97" t="str">
            <v/>
          </cell>
          <cell r="E97" t="str">
            <v/>
          </cell>
          <cell r="F97" t="str">
            <v/>
          </cell>
          <cell r="G97">
            <v>1.002</v>
          </cell>
          <cell r="H97" t="str">
            <v/>
          </cell>
          <cell r="I97" t="str">
            <v/>
          </cell>
          <cell r="J97" t="str">
            <v/>
          </cell>
          <cell r="K97" t="str">
            <v/>
          </cell>
          <cell r="L97" t="str">
            <v/>
          </cell>
          <cell r="M97" t="str">
            <v/>
          </cell>
          <cell r="N97" t="str">
            <v/>
          </cell>
          <cell r="O97" t="str">
            <v/>
          </cell>
          <cell r="P97" t="str">
            <v/>
          </cell>
          <cell r="Q97" t="str">
            <v/>
          </cell>
          <cell r="R97" t="str">
            <v/>
          </cell>
          <cell r="S97" t="str">
            <v/>
          </cell>
          <cell r="T97" t="str">
            <v/>
          </cell>
          <cell r="U97" t="str">
            <v/>
          </cell>
          <cell r="V97" t="str">
            <v/>
          </cell>
          <cell r="W97" t="str">
            <v/>
          </cell>
          <cell r="X97" t="str">
            <v/>
          </cell>
          <cell r="Y97" t="str">
            <v/>
          </cell>
          <cell r="Z97" t="str">
            <v/>
          </cell>
          <cell r="AA97" t="str">
            <v/>
          </cell>
          <cell r="AB97" t="str">
            <v/>
          </cell>
          <cell r="AC97" t="str">
            <v/>
          </cell>
          <cell r="AD97" t="str">
            <v/>
          </cell>
          <cell r="AE97" t="str">
            <v/>
          </cell>
          <cell r="AF97" t="str">
            <v/>
          </cell>
          <cell r="AG97" t="str">
            <v/>
          </cell>
          <cell r="AH97" t="str">
            <v/>
          </cell>
          <cell r="AI97" t="str">
            <v/>
          </cell>
          <cell r="AJ97" t="str">
            <v/>
          </cell>
          <cell r="AK97">
            <v>1.35</v>
          </cell>
          <cell r="AL97" t="str">
            <v/>
          </cell>
          <cell r="AM97" t="str">
            <v/>
          </cell>
          <cell r="AN97" t="str">
            <v/>
          </cell>
          <cell r="AO97" t="str">
            <v/>
          </cell>
          <cell r="AP97" t="str">
            <v/>
          </cell>
          <cell r="AQ97" t="str">
            <v/>
          </cell>
          <cell r="AR97" t="str">
            <v/>
          </cell>
          <cell r="AS97" t="str">
            <v/>
          </cell>
          <cell r="AT97" t="str">
            <v/>
          </cell>
          <cell r="AU97" t="str">
            <v/>
          </cell>
          <cell r="AV97" t="str">
            <v/>
          </cell>
          <cell r="AW97" t="str">
            <v/>
          </cell>
          <cell r="AX97" t="str">
            <v/>
          </cell>
          <cell r="AY97" t="str">
            <v/>
          </cell>
          <cell r="AZ97" t="str">
            <v/>
          </cell>
          <cell r="BA97" t="str">
            <v/>
          </cell>
        </row>
        <row r="98">
          <cell r="B98">
            <v>32</v>
          </cell>
          <cell r="C98" t="str">
            <v/>
          </cell>
          <cell r="D98" t="str">
            <v/>
          </cell>
          <cell r="E98" t="str">
            <v/>
          </cell>
          <cell r="F98" t="str">
            <v/>
          </cell>
          <cell r="G98" t="str">
            <v/>
          </cell>
          <cell r="H98" t="str">
            <v/>
          </cell>
          <cell r="I98" t="str">
            <v/>
          </cell>
          <cell r="J98" t="str">
            <v/>
          </cell>
          <cell r="K98" t="str">
            <v/>
          </cell>
          <cell r="L98" t="str">
            <v/>
          </cell>
          <cell r="M98" t="str">
            <v/>
          </cell>
          <cell r="N98" t="str">
            <v/>
          </cell>
          <cell r="O98" t="str">
            <v/>
          </cell>
          <cell r="P98" t="str">
            <v/>
          </cell>
          <cell r="Q98" t="str">
            <v/>
          </cell>
          <cell r="R98" t="str">
            <v/>
          </cell>
          <cell r="S98" t="str">
            <v/>
          </cell>
          <cell r="T98" t="str">
            <v/>
          </cell>
          <cell r="U98" t="str">
            <v/>
          </cell>
          <cell r="V98" t="str">
            <v/>
          </cell>
          <cell r="W98" t="str">
            <v/>
          </cell>
          <cell r="X98" t="str">
            <v/>
          </cell>
          <cell r="Y98" t="str">
            <v/>
          </cell>
          <cell r="Z98" t="str">
            <v/>
          </cell>
          <cell r="AA98" t="str">
            <v/>
          </cell>
          <cell r="AB98" t="str">
            <v/>
          </cell>
          <cell r="AC98" t="str">
            <v/>
          </cell>
          <cell r="AD98" t="str">
            <v/>
          </cell>
          <cell r="AE98" t="str">
            <v/>
          </cell>
          <cell r="AF98" t="str">
            <v/>
          </cell>
          <cell r="AG98" t="str">
            <v/>
          </cell>
          <cell r="AH98" t="str">
            <v/>
          </cell>
          <cell r="AI98" t="str">
            <v/>
          </cell>
          <cell r="AJ98" t="str">
            <v/>
          </cell>
          <cell r="AK98">
            <v>1.35</v>
          </cell>
          <cell r="AL98" t="str">
            <v/>
          </cell>
          <cell r="AM98" t="str">
            <v/>
          </cell>
          <cell r="AN98" t="str">
            <v/>
          </cell>
          <cell r="AO98" t="str">
            <v/>
          </cell>
          <cell r="AP98" t="str">
            <v/>
          </cell>
          <cell r="AQ98" t="str">
            <v/>
          </cell>
          <cell r="AR98" t="str">
            <v/>
          </cell>
          <cell r="AS98" t="str">
            <v/>
          </cell>
          <cell r="AT98" t="str">
            <v/>
          </cell>
          <cell r="AU98" t="str">
            <v/>
          </cell>
          <cell r="AV98" t="str">
            <v/>
          </cell>
          <cell r="AW98" t="str">
            <v/>
          </cell>
          <cell r="AX98" t="str">
            <v/>
          </cell>
          <cell r="AY98" t="str">
            <v/>
          </cell>
          <cell r="AZ98" t="str">
            <v/>
          </cell>
          <cell r="BA98" t="str">
            <v/>
          </cell>
        </row>
        <row r="99">
          <cell r="B99">
            <v>33</v>
          </cell>
          <cell r="C99" t="str">
            <v/>
          </cell>
          <cell r="D99" t="str">
            <v/>
          </cell>
          <cell r="E99" t="str">
            <v/>
          </cell>
          <cell r="F99" t="str">
            <v/>
          </cell>
          <cell r="G99" t="str">
            <v/>
          </cell>
          <cell r="H99" t="str">
            <v/>
          </cell>
          <cell r="I99" t="str">
            <v/>
          </cell>
          <cell r="J99" t="str">
            <v/>
          </cell>
          <cell r="K99" t="str">
            <v/>
          </cell>
          <cell r="L99" t="str">
            <v/>
          </cell>
          <cell r="M99" t="str">
            <v/>
          </cell>
          <cell r="N99" t="str">
            <v/>
          </cell>
          <cell r="O99" t="str">
            <v/>
          </cell>
          <cell r="P99" t="str">
            <v/>
          </cell>
          <cell r="Q99" t="str">
            <v/>
          </cell>
          <cell r="R99" t="str">
            <v/>
          </cell>
          <cell r="S99" t="str">
            <v/>
          </cell>
          <cell r="T99" t="str">
            <v/>
          </cell>
          <cell r="U99" t="str">
            <v/>
          </cell>
          <cell r="V99" t="str">
            <v/>
          </cell>
          <cell r="W99" t="str">
            <v/>
          </cell>
          <cell r="X99" t="str">
            <v/>
          </cell>
          <cell r="Y99" t="str">
            <v/>
          </cell>
          <cell r="Z99" t="str">
            <v/>
          </cell>
          <cell r="AA99" t="str">
            <v/>
          </cell>
          <cell r="AB99" t="str">
            <v/>
          </cell>
          <cell r="AC99" t="str">
            <v/>
          </cell>
          <cell r="AD99" t="str">
            <v/>
          </cell>
          <cell r="AE99" t="str">
            <v/>
          </cell>
          <cell r="AF99" t="str">
            <v/>
          </cell>
          <cell r="AG99" t="str">
            <v/>
          </cell>
          <cell r="AH99" t="str">
            <v/>
          </cell>
          <cell r="AI99" t="str">
            <v/>
          </cell>
          <cell r="AJ99" t="str">
            <v/>
          </cell>
          <cell r="AK99">
            <v>1.35</v>
          </cell>
          <cell r="AL99" t="str">
            <v/>
          </cell>
          <cell r="AM99" t="str">
            <v/>
          </cell>
          <cell r="AN99" t="str">
            <v/>
          </cell>
          <cell r="AO99" t="str">
            <v/>
          </cell>
          <cell r="AP99" t="str">
            <v/>
          </cell>
          <cell r="AQ99" t="str">
            <v/>
          </cell>
          <cell r="AR99" t="str">
            <v/>
          </cell>
          <cell r="AS99" t="str">
            <v/>
          </cell>
          <cell r="AT99" t="str">
            <v/>
          </cell>
          <cell r="AU99" t="str">
            <v/>
          </cell>
          <cell r="AV99" t="str">
            <v/>
          </cell>
          <cell r="AW99" t="str">
            <v/>
          </cell>
          <cell r="AX99" t="str">
            <v/>
          </cell>
          <cell r="AY99" t="str">
            <v/>
          </cell>
          <cell r="AZ99" t="str">
            <v/>
          </cell>
          <cell r="BA99" t="str">
            <v/>
          </cell>
        </row>
        <row r="100">
          <cell r="B100">
            <v>34</v>
          </cell>
          <cell r="C100" t="str">
            <v/>
          </cell>
          <cell r="D100" t="str">
            <v/>
          </cell>
          <cell r="E100" t="str">
            <v/>
          </cell>
          <cell r="F100" t="str">
            <v/>
          </cell>
          <cell r="G100" t="str">
            <v/>
          </cell>
          <cell r="H100" t="str">
            <v/>
          </cell>
          <cell r="I100" t="str">
            <v/>
          </cell>
          <cell r="J100" t="str">
            <v/>
          </cell>
          <cell r="K100" t="str">
            <v/>
          </cell>
          <cell r="L100" t="str">
            <v/>
          </cell>
          <cell r="M100" t="str">
            <v/>
          </cell>
          <cell r="N100" t="str">
            <v/>
          </cell>
          <cell r="O100" t="str">
            <v/>
          </cell>
          <cell r="P100" t="str">
            <v/>
          </cell>
          <cell r="Q100" t="str">
            <v/>
          </cell>
          <cell r="R100" t="str">
            <v/>
          </cell>
          <cell r="S100" t="str">
            <v/>
          </cell>
          <cell r="T100" t="str">
            <v/>
          </cell>
          <cell r="U100" t="str">
            <v/>
          </cell>
          <cell r="V100" t="str">
            <v/>
          </cell>
          <cell r="W100" t="str">
            <v/>
          </cell>
          <cell r="X100" t="str">
            <v/>
          </cell>
          <cell r="Y100" t="str">
            <v/>
          </cell>
          <cell r="Z100" t="str">
            <v/>
          </cell>
          <cell r="AA100" t="str">
            <v/>
          </cell>
          <cell r="AB100" t="str">
            <v/>
          </cell>
          <cell r="AC100" t="str">
            <v/>
          </cell>
          <cell r="AD100" t="str">
            <v/>
          </cell>
          <cell r="AE100" t="str">
            <v/>
          </cell>
          <cell r="AF100" t="str">
            <v/>
          </cell>
          <cell r="AG100" t="str">
            <v/>
          </cell>
          <cell r="AH100" t="str">
            <v/>
          </cell>
          <cell r="AI100" t="str">
            <v/>
          </cell>
          <cell r="AJ100" t="str">
            <v/>
          </cell>
          <cell r="AK100">
            <v>1.35</v>
          </cell>
          <cell r="AL100" t="str">
            <v/>
          </cell>
          <cell r="AM100" t="str">
            <v/>
          </cell>
          <cell r="AN100" t="str">
            <v/>
          </cell>
          <cell r="AO100" t="str">
            <v/>
          </cell>
          <cell r="AP100" t="str">
            <v/>
          </cell>
          <cell r="AQ100" t="str">
            <v/>
          </cell>
          <cell r="AR100" t="str">
            <v/>
          </cell>
          <cell r="AS100" t="str">
            <v/>
          </cell>
          <cell r="AT100" t="str">
            <v/>
          </cell>
          <cell r="AU100" t="str">
            <v/>
          </cell>
          <cell r="AV100" t="str">
            <v/>
          </cell>
          <cell r="AW100" t="str">
            <v/>
          </cell>
          <cell r="AX100" t="str">
            <v/>
          </cell>
          <cell r="AY100" t="str">
            <v/>
          </cell>
          <cell r="AZ100" t="str">
            <v/>
          </cell>
          <cell r="BA100" t="str">
            <v/>
          </cell>
        </row>
        <row r="101">
          <cell r="B101">
            <v>35</v>
          </cell>
          <cell r="C101" t="str">
            <v/>
          </cell>
          <cell r="D101" t="str">
            <v/>
          </cell>
          <cell r="E101" t="str">
            <v/>
          </cell>
          <cell r="F101" t="str">
            <v/>
          </cell>
          <cell r="G101" t="str">
            <v/>
          </cell>
          <cell r="H101" t="str">
            <v/>
          </cell>
          <cell r="I101" t="str">
            <v/>
          </cell>
          <cell r="J101" t="str">
            <v/>
          </cell>
          <cell r="K101" t="str">
            <v/>
          </cell>
          <cell r="L101" t="str">
            <v/>
          </cell>
          <cell r="M101" t="str">
            <v/>
          </cell>
          <cell r="N101" t="str">
            <v/>
          </cell>
          <cell r="O101" t="str">
            <v/>
          </cell>
          <cell r="P101" t="str">
            <v/>
          </cell>
          <cell r="Q101" t="str">
            <v/>
          </cell>
          <cell r="R101" t="str">
            <v/>
          </cell>
          <cell r="S101" t="str">
            <v/>
          </cell>
          <cell r="T101" t="str">
            <v/>
          </cell>
          <cell r="U101" t="str">
            <v/>
          </cell>
          <cell r="V101" t="str">
            <v/>
          </cell>
          <cell r="W101" t="str">
            <v/>
          </cell>
          <cell r="X101" t="str">
            <v/>
          </cell>
          <cell r="Y101" t="str">
            <v/>
          </cell>
          <cell r="Z101" t="str">
            <v/>
          </cell>
          <cell r="AA101" t="str">
            <v/>
          </cell>
          <cell r="AB101" t="str">
            <v/>
          </cell>
          <cell r="AC101" t="str">
            <v/>
          </cell>
          <cell r="AD101" t="str">
            <v/>
          </cell>
          <cell r="AE101" t="str">
            <v/>
          </cell>
          <cell r="AF101" t="str">
            <v/>
          </cell>
          <cell r="AG101" t="str">
            <v/>
          </cell>
          <cell r="AH101" t="str">
            <v/>
          </cell>
          <cell r="AI101" t="str">
            <v/>
          </cell>
          <cell r="AJ101" t="str">
            <v/>
          </cell>
          <cell r="AK101">
            <v>1.35</v>
          </cell>
          <cell r="AL101" t="str">
            <v/>
          </cell>
          <cell r="AM101" t="str">
            <v/>
          </cell>
          <cell r="AN101" t="str">
            <v/>
          </cell>
          <cell r="AO101" t="str">
            <v/>
          </cell>
          <cell r="AP101" t="str">
            <v/>
          </cell>
          <cell r="AQ101" t="str">
            <v/>
          </cell>
          <cell r="AR101" t="str">
            <v/>
          </cell>
          <cell r="AS101" t="str">
            <v/>
          </cell>
          <cell r="AT101" t="str">
            <v/>
          </cell>
          <cell r="AU101" t="str">
            <v/>
          </cell>
          <cell r="AV101" t="str">
            <v/>
          </cell>
          <cell r="AW101" t="str">
            <v/>
          </cell>
          <cell r="AX101" t="str">
            <v/>
          </cell>
          <cell r="AY101" t="str">
            <v/>
          </cell>
          <cell r="AZ101" t="str">
            <v/>
          </cell>
          <cell r="BA101" t="str">
            <v/>
          </cell>
        </row>
        <row r="102">
          <cell r="B102">
            <v>36</v>
          </cell>
          <cell r="C102" t="str">
            <v/>
          </cell>
          <cell r="D102" t="str">
            <v/>
          </cell>
          <cell r="E102" t="str">
            <v/>
          </cell>
          <cell r="F102" t="str">
            <v/>
          </cell>
          <cell r="G102" t="str">
            <v/>
          </cell>
          <cell r="H102" t="str">
            <v/>
          </cell>
          <cell r="I102" t="str">
            <v/>
          </cell>
          <cell r="J102" t="str">
            <v/>
          </cell>
          <cell r="K102" t="str">
            <v/>
          </cell>
          <cell r="L102" t="str">
            <v/>
          </cell>
          <cell r="M102" t="str">
            <v/>
          </cell>
          <cell r="N102" t="str">
            <v/>
          </cell>
          <cell r="O102" t="str">
            <v/>
          </cell>
          <cell r="P102" t="str">
            <v/>
          </cell>
          <cell r="Q102" t="str">
            <v/>
          </cell>
          <cell r="R102" t="str">
            <v/>
          </cell>
          <cell r="S102" t="str">
            <v/>
          </cell>
          <cell r="T102" t="str">
            <v/>
          </cell>
          <cell r="U102" t="str">
            <v/>
          </cell>
          <cell r="V102" t="str">
            <v/>
          </cell>
          <cell r="W102" t="str">
            <v/>
          </cell>
          <cell r="X102" t="str">
            <v/>
          </cell>
          <cell r="Y102" t="str">
            <v/>
          </cell>
          <cell r="Z102" t="str">
            <v/>
          </cell>
          <cell r="AA102" t="str">
            <v/>
          </cell>
          <cell r="AB102" t="str">
            <v/>
          </cell>
          <cell r="AC102" t="str">
            <v/>
          </cell>
          <cell r="AD102" t="str">
            <v/>
          </cell>
          <cell r="AE102" t="str">
            <v/>
          </cell>
          <cell r="AF102" t="str">
            <v/>
          </cell>
          <cell r="AG102" t="str">
            <v/>
          </cell>
          <cell r="AH102" t="str">
            <v/>
          </cell>
          <cell r="AI102" t="str">
            <v/>
          </cell>
          <cell r="AJ102" t="str">
            <v/>
          </cell>
          <cell r="AK102">
            <v>1.35</v>
          </cell>
          <cell r="AL102" t="str">
            <v/>
          </cell>
          <cell r="AM102" t="str">
            <v/>
          </cell>
          <cell r="AN102" t="str">
            <v/>
          </cell>
          <cell r="AO102" t="str">
            <v/>
          </cell>
          <cell r="AP102" t="str">
            <v/>
          </cell>
          <cell r="AQ102" t="str">
            <v/>
          </cell>
          <cell r="AR102" t="str">
            <v/>
          </cell>
          <cell r="AS102" t="str">
            <v/>
          </cell>
          <cell r="AT102" t="str">
            <v/>
          </cell>
          <cell r="AU102" t="str">
            <v/>
          </cell>
          <cell r="AV102" t="str">
            <v/>
          </cell>
          <cell r="AW102" t="str">
            <v/>
          </cell>
          <cell r="AX102" t="str">
            <v/>
          </cell>
          <cell r="AY102" t="str">
            <v/>
          </cell>
          <cell r="AZ102" t="str">
            <v/>
          </cell>
          <cell r="BA102" t="str">
            <v/>
          </cell>
        </row>
        <row r="103">
          <cell r="B103">
            <v>37</v>
          </cell>
          <cell r="C103" t="str">
            <v/>
          </cell>
          <cell r="D103" t="str">
            <v/>
          </cell>
          <cell r="E103" t="str">
            <v/>
          </cell>
          <cell r="F103" t="str">
            <v/>
          </cell>
          <cell r="G103" t="str">
            <v/>
          </cell>
          <cell r="H103" t="str">
            <v/>
          </cell>
          <cell r="I103" t="str">
            <v/>
          </cell>
          <cell r="J103" t="str">
            <v/>
          </cell>
          <cell r="K103" t="str">
            <v/>
          </cell>
          <cell r="L103" t="str">
            <v/>
          </cell>
          <cell r="M103" t="str">
            <v/>
          </cell>
          <cell r="N103" t="str">
            <v/>
          </cell>
          <cell r="O103" t="str">
            <v/>
          </cell>
          <cell r="P103" t="str">
            <v/>
          </cell>
          <cell r="Q103" t="str">
            <v/>
          </cell>
          <cell r="R103" t="str">
            <v/>
          </cell>
          <cell r="S103" t="str">
            <v/>
          </cell>
          <cell r="T103" t="str">
            <v/>
          </cell>
          <cell r="U103" t="str">
            <v/>
          </cell>
          <cell r="V103" t="str">
            <v/>
          </cell>
          <cell r="W103" t="str">
            <v/>
          </cell>
          <cell r="X103" t="str">
            <v/>
          </cell>
          <cell r="Y103" t="str">
            <v/>
          </cell>
          <cell r="Z103" t="str">
            <v/>
          </cell>
          <cell r="AA103" t="str">
            <v/>
          </cell>
          <cell r="AB103" t="str">
            <v/>
          </cell>
          <cell r="AC103" t="str">
            <v/>
          </cell>
          <cell r="AD103" t="str">
            <v/>
          </cell>
          <cell r="AE103" t="str">
            <v/>
          </cell>
          <cell r="AF103" t="str">
            <v/>
          </cell>
          <cell r="AG103" t="str">
            <v/>
          </cell>
          <cell r="AH103" t="str">
            <v/>
          </cell>
          <cell r="AI103" t="str">
            <v/>
          </cell>
          <cell r="AJ103" t="str">
            <v/>
          </cell>
          <cell r="AK103">
            <v>1.357</v>
          </cell>
          <cell r="AL103" t="str">
            <v/>
          </cell>
          <cell r="AM103" t="str">
            <v/>
          </cell>
          <cell r="AN103" t="str">
            <v/>
          </cell>
          <cell r="AO103" t="str">
            <v/>
          </cell>
          <cell r="AP103" t="str">
            <v/>
          </cell>
          <cell r="AQ103" t="str">
            <v/>
          </cell>
          <cell r="AR103" t="str">
            <v/>
          </cell>
          <cell r="AS103" t="str">
            <v/>
          </cell>
          <cell r="AT103" t="str">
            <v/>
          </cell>
          <cell r="AU103" t="str">
            <v/>
          </cell>
          <cell r="AV103" t="str">
            <v/>
          </cell>
          <cell r="AW103" t="str">
            <v/>
          </cell>
          <cell r="AX103" t="str">
            <v/>
          </cell>
          <cell r="AY103" t="str">
            <v/>
          </cell>
          <cell r="AZ103" t="str">
            <v/>
          </cell>
          <cell r="BA103" t="str">
            <v/>
          </cell>
        </row>
        <row r="104">
          <cell r="B104">
            <v>38</v>
          </cell>
          <cell r="C104" t="str">
            <v/>
          </cell>
          <cell r="D104" t="str">
            <v/>
          </cell>
          <cell r="E104" t="str">
            <v/>
          </cell>
          <cell r="F104" t="str">
            <v/>
          </cell>
          <cell r="G104" t="str">
            <v/>
          </cell>
          <cell r="H104" t="str">
            <v/>
          </cell>
          <cell r="I104" t="str">
            <v/>
          </cell>
          <cell r="J104" t="str">
            <v/>
          </cell>
          <cell r="K104" t="str">
            <v/>
          </cell>
          <cell r="L104" t="str">
            <v/>
          </cell>
          <cell r="M104" t="str">
            <v/>
          </cell>
          <cell r="N104" t="str">
            <v/>
          </cell>
          <cell r="O104" t="str">
            <v/>
          </cell>
          <cell r="P104" t="str">
            <v/>
          </cell>
          <cell r="Q104" t="str">
            <v/>
          </cell>
          <cell r="R104" t="str">
            <v/>
          </cell>
          <cell r="S104" t="str">
            <v/>
          </cell>
          <cell r="T104" t="str">
            <v/>
          </cell>
          <cell r="U104" t="str">
            <v/>
          </cell>
          <cell r="V104" t="str">
            <v/>
          </cell>
          <cell r="W104" t="str">
            <v/>
          </cell>
          <cell r="X104" t="str">
            <v/>
          </cell>
          <cell r="Y104" t="str">
            <v/>
          </cell>
          <cell r="Z104" t="str">
            <v/>
          </cell>
          <cell r="AA104" t="str">
            <v/>
          </cell>
          <cell r="AB104" t="str">
            <v/>
          </cell>
          <cell r="AC104" t="str">
            <v/>
          </cell>
          <cell r="AD104" t="str">
            <v/>
          </cell>
          <cell r="AE104" t="str">
            <v/>
          </cell>
          <cell r="AF104" t="str">
            <v/>
          </cell>
          <cell r="AG104" t="str">
            <v/>
          </cell>
          <cell r="AH104" t="str">
            <v/>
          </cell>
          <cell r="AI104" t="str">
            <v/>
          </cell>
          <cell r="AJ104" t="str">
            <v/>
          </cell>
          <cell r="AK104">
            <v>1.357</v>
          </cell>
          <cell r="AL104" t="str">
            <v/>
          </cell>
          <cell r="AM104" t="str">
            <v/>
          </cell>
          <cell r="AN104" t="str">
            <v/>
          </cell>
          <cell r="AO104" t="str">
            <v/>
          </cell>
          <cell r="AP104" t="str">
            <v/>
          </cell>
          <cell r="AQ104" t="str">
            <v/>
          </cell>
          <cell r="AR104" t="str">
            <v/>
          </cell>
          <cell r="AS104" t="str">
            <v/>
          </cell>
          <cell r="AT104" t="str">
            <v/>
          </cell>
          <cell r="AU104" t="str">
            <v/>
          </cell>
          <cell r="AV104" t="str">
            <v/>
          </cell>
          <cell r="AW104" t="str">
            <v/>
          </cell>
          <cell r="AX104" t="str">
            <v/>
          </cell>
          <cell r="AY104" t="str">
            <v/>
          </cell>
          <cell r="AZ104" t="str">
            <v/>
          </cell>
          <cell r="BA104" t="str">
            <v/>
          </cell>
        </row>
        <row r="105">
          <cell r="B105">
            <v>39</v>
          </cell>
          <cell r="C105" t="str">
            <v/>
          </cell>
          <cell r="D105" t="str">
            <v/>
          </cell>
          <cell r="E105" t="str">
            <v/>
          </cell>
          <cell r="F105" t="str">
            <v/>
          </cell>
          <cell r="G105" t="str">
            <v/>
          </cell>
          <cell r="H105" t="str">
            <v/>
          </cell>
          <cell r="I105" t="str">
            <v/>
          </cell>
          <cell r="J105" t="str">
            <v/>
          </cell>
          <cell r="K105" t="str">
            <v/>
          </cell>
          <cell r="L105" t="str">
            <v/>
          </cell>
          <cell r="M105" t="str">
            <v/>
          </cell>
          <cell r="N105" t="str">
            <v/>
          </cell>
          <cell r="O105" t="str">
            <v/>
          </cell>
          <cell r="P105" t="str">
            <v/>
          </cell>
          <cell r="Q105" t="str">
            <v/>
          </cell>
          <cell r="R105" t="str">
            <v/>
          </cell>
          <cell r="S105" t="str">
            <v/>
          </cell>
          <cell r="T105" t="str">
            <v/>
          </cell>
          <cell r="U105" t="str">
            <v/>
          </cell>
          <cell r="V105" t="str">
            <v/>
          </cell>
          <cell r="W105" t="str">
            <v/>
          </cell>
          <cell r="X105" t="str">
            <v/>
          </cell>
          <cell r="Y105" t="str">
            <v/>
          </cell>
          <cell r="Z105" t="str">
            <v/>
          </cell>
          <cell r="AA105" t="str">
            <v/>
          </cell>
          <cell r="AB105" t="str">
            <v/>
          </cell>
          <cell r="AC105" t="str">
            <v/>
          </cell>
          <cell r="AD105" t="str">
            <v/>
          </cell>
          <cell r="AE105" t="str">
            <v/>
          </cell>
          <cell r="AF105" t="str">
            <v/>
          </cell>
          <cell r="AG105" t="str">
            <v/>
          </cell>
          <cell r="AH105" t="str">
            <v/>
          </cell>
          <cell r="AI105" t="str">
            <v/>
          </cell>
          <cell r="AJ105" t="str">
            <v/>
          </cell>
          <cell r="AK105">
            <v>1.669</v>
          </cell>
          <cell r="AL105" t="str">
            <v/>
          </cell>
          <cell r="AM105" t="str">
            <v/>
          </cell>
          <cell r="AN105" t="str">
            <v/>
          </cell>
          <cell r="AO105" t="str">
            <v/>
          </cell>
          <cell r="AP105" t="str">
            <v/>
          </cell>
          <cell r="AQ105" t="str">
            <v/>
          </cell>
          <cell r="AR105" t="str">
            <v/>
          </cell>
          <cell r="AS105" t="str">
            <v/>
          </cell>
          <cell r="AT105" t="str">
            <v/>
          </cell>
          <cell r="AU105" t="str">
            <v/>
          </cell>
          <cell r="AV105" t="str">
            <v/>
          </cell>
          <cell r="AW105" t="str">
            <v/>
          </cell>
          <cell r="AX105" t="str">
            <v/>
          </cell>
          <cell r="AY105" t="str">
            <v/>
          </cell>
          <cell r="AZ105" t="str">
            <v/>
          </cell>
          <cell r="BA105" t="str">
            <v/>
          </cell>
        </row>
        <row r="106">
          <cell r="B106">
            <v>40</v>
          </cell>
          <cell r="C106" t="str">
            <v/>
          </cell>
          <cell r="D106" t="str">
            <v/>
          </cell>
          <cell r="E106" t="str">
            <v/>
          </cell>
          <cell r="F106" t="str">
            <v/>
          </cell>
          <cell r="G106" t="str">
            <v/>
          </cell>
          <cell r="H106" t="str">
            <v/>
          </cell>
          <cell r="I106" t="str">
            <v/>
          </cell>
          <cell r="J106" t="str">
            <v/>
          </cell>
          <cell r="K106" t="str">
            <v/>
          </cell>
          <cell r="L106" t="str">
            <v/>
          </cell>
          <cell r="M106" t="str">
            <v/>
          </cell>
          <cell r="N106" t="str">
            <v/>
          </cell>
          <cell r="O106" t="str">
            <v/>
          </cell>
          <cell r="P106" t="str">
            <v/>
          </cell>
          <cell r="Q106" t="str">
            <v/>
          </cell>
          <cell r="R106" t="str">
            <v/>
          </cell>
          <cell r="S106" t="str">
            <v/>
          </cell>
          <cell r="T106" t="str">
            <v/>
          </cell>
          <cell r="U106" t="str">
            <v/>
          </cell>
          <cell r="V106" t="str">
            <v/>
          </cell>
          <cell r="W106" t="str">
            <v/>
          </cell>
          <cell r="X106" t="str">
            <v/>
          </cell>
          <cell r="Y106" t="str">
            <v/>
          </cell>
          <cell r="Z106" t="str">
            <v/>
          </cell>
          <cell r="AA106" t="str">
            <v/>
          </cell>
          <cell r="AB106" t="str">
            <v/>
          </cell>
          <cell r="AC106" t="str">
            <v/>
          </cell>
          <cell r="AD106" t="str">
            <v/>
          </cell>
          <cell r="AE106" t="str">
            <v/>
          </cell>
          <cell r="AF106" t="str">
            <v/>
          </cell>
          <cell r="AG106" t="str">
            <v/>
          </cell>
          <cell r="AH106" t="str">
            <v/>
          </cell>
          <cell r="AI106" t="str">
            <v/>
          </cell>
          <cell r="AJ106" t="str">
            <v/>
          </cell>
          <cell r="AK106" t="str">
            <v/>
          </cell>
          <cell r="AL106" t="str">
            <v/>
          </cell>
          <cell r="AM106" t="str">
            <v/>
          </cell>
          <cell r="AN106" t="str">
            <v/>
          </cell>
          <cell r="AO106" t="str">
            <v/>
          </cell>
          <cell r="AP106" t="str">
            <v/>
          </cell>
          <cell r="AQ106" t="str">
            <v/>
          </cell>
          <cell r="AR106" t="str">
            <v/>
          </cell>
          <cell r="AS106" t="str">
            <v/>
          </cell>
          <cell r="AT106" t="str">
            <v/>
          </cell>
          <cell r="AU106" t="str">
            <v/>
          </cell>
          <cell r="AV106" t="str">
            <v/>
          </cell>
          <cell r="AW106" t="str">
            <v/>
          </cell>
          <cell r="AX106" t="str">
            <v/>
          </cell>
          <cell r="AY106" t="str">
            <v/>
          </cell>
          <cell r="AZ106" t="str">
            <v/>
          </cell>
          <cell r="BA106" t="str">
            <v/>
          </cell>
        </row>
        <row r="218">
          <cell r="BK218" t="str">
            <v>Description</v>
          </cell>
          <cell r="BL218" t="str">
            <v>AK</v>
          </cell>
          <cell r="BM218" t="str">
            <v>AL</v>
          </cell>
          <cell r="BN218" t="str">
            <v>AR</v>
          </cell>
          <cell r="BO218" t="str">
            <v>AZ</v>
          </cell>
          <cell r="BP218" t="str">
            <v>CA</v>
          </cell>
          <cell r="BQ218" t="str">
            <v>CO</v>
          </cell>
          <cell r="BR218" t="str">
            <v>CT</v>
          </cell>
          <cell r="BS218" t="str">
            <v>DC</v>
          </cell>
          <cell r="BT218" t="str">
            <v>DE</v>
          </cell>
          <cell r="BU218" t="str">
            <v>FL</v>
          </cell>
          <cell r="BV218" t="str">
            <v>GA</v>
          </cell>
          <cell r="BW218" t="str">
            <v>HI</v>
          </cell>
          <cell r="BX218" t="str">
            <v>IA</v>
          </cell>
          <cell r="BY218" t="str">
            <v>ID</v>
          </cell>
          <cell r="BZ218" t="str">
            <v>IL</v>
          </cell>
          <cell r="CA218" t="str">
            <v>IN</v>
          </cell>
          <cell r="CB218" t="str">
            <v>KS</v>
          </cell>
          <cell r="CC218" t="str">
            <v>KY</v>
          </cell>
          <cell r="CD218" t="str">
            <v>LA</v>
          </cell>
          <cell r="CE218" t="str">
            <v>MA</v>
          </cell>
          <cell r="CF218" t="str">
            <v>MD</v>
          </cell>
          <cell r="CG218" t="str">
            <v>ME</v>
          </cell>
          <cell r="CH218" t="str">
            <v>MI</v>
          </cell>
          <cell r="CI218" t="str">
            <v>MN</v>
          </cell>
          <cell r="CJ218" t="str">
            <v>MO</v>
          </cell>
          <cell r="CK218" t="str">
            <v>MS</v>
          </cell>
          <cell r="CL218" t="str">
            <v>MT</v>
          </cell>
          <cell r="CM218" t="str">
            <v>NC</v>
          </cell>
          <cell r="CN218" t="str">
            <v>ND</v>
          </cell>
          <cell r="CO218" t="str">
            <v>NE</v>
          </cell>
          <cell r="CP218" t="str">
            <v>NH</v>
          </cell>
          <cell r="CQ218" t="str">
            <v>NJ</v>
          </cell>
          <cell r="CR218" t="str">
            <v>NM</v>
          </cell>
          <cell r="CS218" t="str">
            <v>NV</v>
          </cell>
          <cell r="CT218" t="str">
            <v>NY</v>
          </cell>
          <cell r="CU218" t="str">
            <v>OH</v>
          </cell>
          <cell r="CV218" t="str">
            <v>OK</v>
          </cell>
          <cell r="CW218" t="str">
            <v>OR</v>
          </cell>
          <cell r="CX218" t="str">
            <v>PA</v>
          </cell>
          <cell r="CY218" t="str">
            <v>RI</v>
          </cell>
          <cell r="CZ218" t="str">
            <v>SC</v>
          </cell>
          <cell r="DA218" t="str">
            <v>SD</v>
          </cell>
          <cell r="DB218" t="str">
            <v>TN</v>
          </cell>
          <cell r="DC218" t="str">
            <v>TX</v>
          </cell>
          <cell r="DD218" t="str">
            <v>UT</v>
          </cell>
          <cell r="DE218" t="str">
            <v>VA</v>
          </cell>
          <cell r="DF218" t="str">
            <v>VT</v>
          </cell>
          <cell r="DG218" t="str">
            <v>WA</v>
          </cell>
          <cell r="DH218" t="str">
            <v>WI</v>
          </cell>
          <cell r="DI218" t="str">
            <v>WV</v>
          </cell>
          <cell r="DJ218" t="str">
            <v>WY</v>
          </cell>
        </row>
        <row r="219">
          <cell r="BK219">
            <v>1</v>
          </cell>
          <cell r="BM219" t="str">
            <v>City of Birmingham</v>
          </cell>
          <cell r="BN219" t="str">
            <v>Entire State</v>
          </cell>
          <cell r="BR219" t="str">
            <v>City of New Haven</v>
          </cell>
          <cell r="BS219" t="str">
            <v>Entire District</v>
          </cell>
          <cell r="BT219" t="str">
            <v>Entire State</v>
          </cell>
          <cell r="BX219" t="str">
            <v>Entire State</v>
          </cell>
          <cell r="BY219" t="str">
            <v>Entire State</v>
          </cell>
          <cell r="BZ219" t="str">
            <v>City of Chicago</v>
          </cell>
          <cell r="CB219" t="str">
            <v>Kansas City, Wichita and Surrounding Areas</v>
          </cell>
          <cell r="CE219" t="str">
            <v>City of Boston</v>
          </cell>
          <cell r="CF219" t="str">
            <v>Balance of State</v>
          </cell>
          <cell r="CG219" t="str">
            <v>Entire State</v>
          </cell>
          <cell r="CJ219" t="str">
            <v>Kansas City</v>
          </cell>
          <cell r="CL219" t="str">
            <v>Western Montana</v>
          </cell>
          <cell r="CM219" t="str">
            <v>Seacoast</v>
          </cell>
          <cell r="CN219" t="str">
            <v>Entire State</v>
          </cell>
          <cell r="CO219" t="str">
            <v>City of Omaha</v>
          </cell>
          <cell r="CP219" t="str">
            <v>Entire State</v>
          </cell>
          <cell r="CQ219" t="str">
            <v>Atlantic City</v>
          </cell>
          <cell r="CS219" t="str">
            <v>Entire State</v>
          </cell>
          <cell r="CV219" t="str">
            <v>Oklahoma City</v>
          </cell>
          <cell r="CW219" t="str">
            <v>City of Portland</v>
          </cell>
          <cell r="CX219" t="str">
            <v>City and County of Philadelphia</v>
          </cell>
          <cell r="CY219" t="str">
            <v>City of Providence</v>
          </cell>
          <cell r="DA219" t="str">
            <v>Entire State</v>
          </cell>
          <cell r="DB219" t="str">
            <v>City of Memphis</v>
          </cell>
          <cell r="DC219" t="str">
            <v>TX</v>
          </cell>
          <cell r="DD219" t="str">
            <v>Entire State</v>
          </cell>
          <cell r="DE219" t="str">
            <v>Arlington and Parts of Fairax Within 5 Miles of Arlington</v>
          </cell>
          <cell r="DF219" t="str">
            <v>Entire State</v>
          </cell>
          <cell r="DG219" t="str">
            <v>City of Seattle</v>
          </cell>
          <cell r="DH219" t="str">
            <v>City of Milwaukee</v>
          </cell>
          <cell r="DI219" t="str">
            <v>Entire State</v>
          </cell>
        </row>
        <row r="220">
          <cell r="BK220">
            <v>2</v>
          </cell>
          <cell r="BL220" t="str">
            <v>District I</v>
          </cell>
          <cell r="BU220" t="str">
            <v>Broward and Palm Beach Counties</v>
          </cell>
          <cell r="BV220" t="str">
            <v>City of Atlanta</v>
          </cell>
          <cell r="CA220" t="str">
            <v>East Chicago, Lake Station, Gary, Hammond, and Whiting</v>
          </cell>
          <cell r="CB220" t="str">
            <v>Balance of State</v>
          </cell>
          <cell r="CE220" t="str">
            <v>Cambridge, Chelsea,Everett, Revere, Somerville</v>
          </cell>
          <cell r="CF220" t="str">
            <v>Area Within 5 Miles of DC</v>
          </cell>
          <cell r="CH220" t="str">
            <v>City of Detroit</v>
          </cell>
          <cell r="CI220" t="str">
            <v>Remainder of State</v>
          </cell>
          <cell r="CK220" t="str">
            <v>Seacoast</v>
          </cell>
          <cell r="CL220" t="str">
            <v>Middle of Montana</v>
          </cell>
          <cell r="CM220" t="str">
            <v>Outerbanks</v>
          </cell>
          <cell r="CQ220" t="str">
            <v>Essex County</v>
          </cell>
          <cell r="CR220" t="str">
            <v>City of Albuquerque</v>
          </cell>
          <cell r="CT220" t="str">
            <v>Albany, Schenectady, Troy</v>
          </cell>
          <cell r="CU220" t="str">
            <v>Youngstown and Cities in Mahoning County</v>
          </cell>
          <cell r="CV220" t="str">
            <v>City of Tulsa</v>
          </cell>
          <cell r="CW220" t="str">
            <v>Rest of State</v>
          </cell>
          <cell r="CX220" t="str">
            <v>City of Pittsburgh</v>
          </cell>
          <cell r="CY220" t="str">
            <v xml:space="preserve">Cntl. Falls, Cranston, E. Prov., Johnston, N. Prov., Pawtucket </v>
          </cell>
          <cell r="CZ220" t="str">
            <v>Inland</v>
          </cell>
          <cell r="DB220" t="str">
            <v>City of Nashville</v>
          </cell>
          <cell r="DG220" t="str">
            <v>Balance of State</v>
          </cell>
          <cell r="DH220" t="str">
            <v>Remainder of State</v>
          </cell>
          <cell r="DJ220" t="str">
            <v>Eastern Wyoming</v>
          </cell>
        </row>
        <row r="221">
          <cell r="BK221">
            <v>3</v>
          </cell>
          <cell r="BL221" t="str">
            <v>District II</v>
          </cell>
          <cell r="BO221" t="str">
            <v>City of Tucson</v>
          </cell>
          <cell r="BQ221" t="str">
            <v>Area Surrounding Denver</v>
          </cell>
          <cell r="BR221" t="str">
            <v>Darien, Greenwich, Stamford</v>
          </cell>
          <cell r="CA221" t="str">
            <v>Indianapolis FSSD</v>
          </cell>
          <cell r="CC221" t="str">
            <v>Balance of State</v>
          </cell>
          <cell r="CH221" t="str">
            <v>Rest of Oakland, Macomb, Wayne Counties and Cities in Michigan</v>
          </cell>
          <cell r="CI221" t="str">
            <v>Duluth</v>
          </cell>
          <cell r="CJ221" t="str">
            <v>Balance of State</v>
          </cell>
          <cell r="CK221" t="str">
            <v>Middle</v>
          </cell>
          <cell r="CL221" t="str">
            <v>Eastern Montana</v>
          </cell>
          <cell r="CM221" t="str">
            <v>Inland Zone 1</v>
          </cell>
          <cell r="CO221" t="str">
            <v>Eastern Nebraska Excluding Omaha</v>
          </cell>
          <cell r="CQ221" t="str">
            <v>Belleville, Bloomfield, E. Orange, Irvington, Ornage</v>
          </cell>
          <cell r="CR221" t="str">
            <v>Eastern New Mexico</v>
          </cell>
          <cell r="CT221" t="str">
            <v>Various Twons in Westchester County</v>
          </cell>
          <cell r="CV221" t="str">
            <v>Balance of State</v>
          </cell>
          <cell r="CX221" t="str">
            <v>Allegheny County Ex. Pittsburgh</v>
          </cell>
          <cell r="CY221" t="str">
            <v>Balance of State</v>
          </cell>
          <cell r="CZ221" t="str">
            <v>Seacoat</v>
          </cell>
          <cell r="DH221" t="str">
            <v>Remainder of State</v>
          </cell>
          <cell r="DJ221" t="str">
            <v>Western Wyoming</v>
          </cell>
        </row>
        <row r="222">
          <cell r="BK222">
            <v>4</v>
          </cell>
          <cell r="BM222" t="str">
            <v>Inland Territory Excluding Birmingham</v>
          </cell>
          <cell r="BO222" t="str">
            <v>Balance of State</v>
          </cell>
          <cell r="BQ222" t="str">
            <v>City and County of Denver</v>
          </cell>
          <cell r="BR222" t="str">
            <v>Parts of Hartford and New haven Counties</v>
          </cell>
          <cell r="BV222" t="str">
            <v>Balance of State -- Inland Territory</v>
          </cell>
          <cell r="BZ222" t="str">
            <v>Parts of St. Claire And Madison Counties</v>
          </cell>
          <cell r="CA222" t="str">
            <v>Evansville, Ft. Wayne, Mishawaka, Muncie, South Bend, Terre Haute</v>
          </cell>
          <cell r="CC222" t="str">
            <v>City of Louisville</v>
          </cell>
          <cell r="CF222" t="str">
            <v>Baltimore</v>
          </cell>
          <cell r="CH222" t="str">
            <v>Rest of Oakland, Macomb, Wayne Counties and Cities in Michigan</v>
          </cell>
          <cell r="CI222" t="str">
            <v>City of Minneapolis</v>
          </cell>
          <cell r="CJ222" t="str">
            <v>City of St. Louis</v>
          </cell>
          <cell r="CK222" t="str">
            <v>Inland</v>
          </cell>
          <cell r="CM222" t="str">
            <v>Inland Zone 2</v>
          </cell>
          <cell r="CO222" t="str">
            <v>Western Nebraska</v>
          </cell>
          <cell r="CR222" t="str">
            <v>Western New Mexico Excluding Albuquerque</v>
          </cell>
          <cell r="CT222" t="str">
            <v>Syracuse</v>
          </cell>
          <cell r="CU222" t="str">
            <v>City of Akron</v>
          </cell>
          <cell r="CX222" t="str">
            <v>Lackawana and Luzerne Counties</v>
          </cell>
          <cell r="CZ222" t="str">
            <v>Beach Area</v>
          </cell>
          <cell r="DB222" t="str">
            <v>Balance of State</v>
          </cell>
          <cell r="DH222" t="str">
            <v>City of Superior</v>
          </cell>
        </row>
        <row r="223">
          <cell r="BK223">
            <v>5</v>
          </cell>
          <cell r="BM223" t="str">
            <v>Seacoast Territory</v>
          </cell>
          <cell r="BO223" t="str">
            <v>City of Phoenix</v>
          </cell>
          <cell r="BQ223" t="str">
            <v>Eastern Colorado</v>
          </cell>
          <cell r="BR223" t="str">
            <v>Middlebury, Naugatuck, Waterbury, Watertown</v>
          </cell>
          <cell r="BV223" t="str">
            <v>Balance of State -- Seacoast Territory</v>
          </cell>
          <cell r="CA223" t="str">
            <v>Marion County Excluding Indianapolis FSSD</v>
          </cell>
          <cell r="CC223" t="str">
            <v>Area Within 10 Miles of Louisville</v>
          </cell>
          <cell r="CF223" t="str">
            <v>Area Within 5 Miles of Baltimore</v>
          </cell>
          <cell r="CH223" t="str">
            <v>Remainder of State</v>
          </cell>
          <cell r="CI223" t="str">
            <v>City of St. Paul</v>
          </cell>
          <cell r="CJ223" t="str">
            <v>St. Louis County</v>
          </cell>
          <cell r="CQ223" t="str">
            <v>Clifton, Passaic, Paterson, Area S. Or E. Of Wayne</v>
          </cell>
          <cell r="CT223" t="str">
            <v>Utica</v>
          </cell>
          <cell r="CX223" t="str">
            <v>Lehigh and Northampton Counties</v>
          </cell>
          <cell r="DB223" t="str">
            <v>Balance of State</v>
          </cell>
          <cell r="DC223" t="str">
            <v>Dallas County</v>
          </cell>
          <cell r="DE223" t="str">
            <v>Rest of Fairfax, Independent Cities, Rest of State</v>
          </cell>
        </row>
        <row r="224">
          <cell r="BK224">
            <v>6</v>
          </cell>
          <cell r="BM224" t="str">
            <v>Beach Area</v>
          </cell>
          <cell r="BO224" t="str">
            <v>Maricopa County - Area Within 5 Miles of Phoenix City Limits</v>
          </cell>
          <cell r="BQ224" t="str">
            <v>Western Colorado</v>
          </cell>
          <cell r="BR224" t="str">
            <v>Bridgeport, Fairfield, Stratford</v>
          </cell>
          <cell r="BV224" t="str">
            <v>Balance of State -- Beach Area</v>
          </cell>
          <cell r="BZ224" t="str">
            <v>Cook County - Area Bordering Chicago</v>
          </cell>
          <cell r="CE224" t="str">
            <v>Fall River &amp; New Bedford</v>
          </cell>
          <cell r="CH224" t="str">
            <v>Cities Around Detroit</v>
          </cell>
          <cell r="CI224" t="str">
            <v>Area Surrounding Minneapolis and St. Paul</v>
          </cell>
          <cell r="CT224" t="str">
            <v>Rochester</v>
          </cell>
          <cell r="CU224" t="str">
            <v>City of Toledo</v>
          </cell>
          <cell r="DB224" t="str">
            <v>Chattanoga and Knoxville</v>
          </cell>
          <cell r="DC224" t="str">
            <v>Tarrant County</v>
          </cell>
          <cell r="DE224" t="str">
            <v>Chesapeake, Portsmouth, Virginia Beach</v>
          </cell>
        </row>
        <row r="225">
          <cell r="BK225">
            <v>7</v>
          </cell>
          <cell r="BR225" t="str">
            <v>Rest of sTate</v>
          </cell>
          <cell r="BU225" t="str">
            <v>City of Miami</v>
          </cell>
          <cell r="BZ225" t="str">
            <v>Balance of Cook County</v>
          </cell>
          <cell r="CA225" t="str">
            <v>Balance of State</v>
          </cell>
          <cell r="CE225" t="str">
            <v>Lowell and Lynn</v>
          </cell>
          <cell r="CT225" t="str">
            <v>Nassau County</v>
          </cell>
          <cell r="CX225" t="str">
            <v>Parts of Bucks, Delaware, Montgomery Counties</v>
          </cell>
          <cell r="DC225" t="str">
            <v>Bexar County</v>
          </cell>
          <cell r="DE225" t="str">
            <v>Hampton, Newport News, and Coastal Counties</v>
          </cell>
        </row>
        <row r="226">
          <cell r="BK226">
            <v>8</v>
          </cell>
          <cell r="BR226" t="str">
            <v>City of Hartford</v>
          </cell>
          <cell r="BU226" t="str">
            <v>Dade County Excluding Miami</v>
          </cell>
          <cell r="BZ226" t="str">
            <v>Moline, Peoria, Rock Island, Rockford, Springfield</v>
          </cell>
          <cell r="CE226" t="str">
            <v>Springfield, W. Springfield, Worcester</v>
          </cell>
          <cell r="CQ226" t="str">
            <v>Perth Amboy</v>
          </cell>
          <cell r="CT226" t="str">
            <v>Buffalo</v>
          </cell>
          <cell r="CU226" t="str">
            <v>Stark, Bal. Of Cuyahoga, Franklin, Montgomery and Rest of State</v>
          </cell>
          <cell r="DC226" t="str">
            <v>El Paso County</v>
          </cell>
          <cell r="DE226" t="str">
            <v>City of Norfolk</v>
          </cell>
        </row>
        <row r="227">
          <cell r="BK227">
            <v>9</v>
          </cell>
          <cell r="BR227" t="str">
            <v>City of New Britian</v>
          </cell>
          <cell r="BU227" t="str">
            <v>City of Jacksonville -- Inland</v>
          </cell>
          <cell r="BZ227" t="str">
            <v>Counties of Du Page, Kane, Lake, And Will</v>
          </cell>
          <cell r="CE227" t="str">
            <v>Brockton, Haverhill, Lawrence</v>
          </cell>
          <cell r="CQ227" t="str">
            <v>Lakewood</v>
          </cell>
          <cell r="CT227" t="str">
            <v>Parts of Westchester County</v>
          </cell>
          <cell r="CX227" t="str">
            <v>Parts of Erie County</v>
          </cell>
          <cell r="DC227" t="str">
            <v>Travis County</v>
          </cell>
          <cell r="DE227" t="str">
            <v>City of Richmond</v>
          </cell>
        </row>
        <row r="228">
          <cell r="BK228">
            <v>10</v>
          </cell>
          <cell r="BU228" t="str">
            <v>City of Jacksonville -- Seacoast</v>
          </cell>
          <cell r="CE228" t="str">
            <v>Chicopee and Holyoke</v>
          </cell>
          <cell r="CU228" t="str">
            <v>Stark, Bal. Of Cuyahoga, Franklin, Montgomery and Rest of State</v>
          </cell>
          <cell r="DC228" t="str">
            <v>Remainder of Central Texas</v>
          </cell>
          <cell r="DE228" t="str">
            <v>Beach Front of Virginia Beach</v>
          </cell>
        </row>
        <row r="229">
          <cell r="BK229">
            <v>11</v>
          </cell>
          <cell r="BU229" t="str">
            <v>Key West</v>
          </cell>
          <cell r="CQ229" t="str">
            <v>Monmouth County - Beach, Ocean County - Beach, New Brunswick, Bergen County, Union and Middlesex County, North of Raritan River</v>
          </cell>
          <cell r="CT229" t="str">
            <v>Parts of New York &amp; Richmond Counties</v>
          </cell>
          <cell r="CU229" t="str">
            <v>City of Cincinnati</v>
          </cell>
          <cell r="CX229" t="str">
            <v>Counties of N.&amp; W. Pennsylvania Excluding Allegheny and Erie</v>
          </cell>
          <cell r="DC229" t="str">
            <v>Galveston, Nueces, and Jefferson</v>
          </cell>
          <cell r="DE229" t="str">
            <v>Islands of Accomac and North Hampton</v>
          </cell>
        </row>
        <row r="230">
          <cell r="BK230">
            <v>12</v>
          </cell>
          <cell r="BU230" t="str">
            <v>Monroe County Excluding Key West</v>
          </cell>
          <cell r="CQ230" t="str">
            <v>Monmouth County - Beach, Ocean County - Beach, New Brunswick, Bergen County, Union and Middlesex County, North of Raritan River</v>
          </cell>
          <cell r="CU230" t="str">
            <v>Hamilton Coutny Excluding Cincinnati</v>
          </cell>
          <cell r="DC230" t="str">
            <v>Cameron, Hidalgo, and Willacy</v>
          </cell>
          <cell r="DE230" t="str">
            <v>Chesterfield and Henrico Excluding Richmond</v>
          </cell>
        </row>
        <row r="231">
          <cell r="BK231">
            <v>13</v>
          </cell>
          <cell r="BP231" t="str">
            <v>City of San Francisco</v>
          </cell>
          <cell r="BU231" t="str">
            <v>Balance of State Inland</v>
          </cell>
          <cell r="CQ231" t="str">
            <v>Camden County, Ewing, Hamilton Township, Lawrence, Trenton</v>
          </cell>
          <cell r="CT231" t="str">
            <v>Delaware, Greene, Orange, Sullivan, Ulster Counties</v>
          </cell>
          <cell r="CU231" t="str">
            <v>City of Cleveland</v>
          </cell>
          <cell r="DC231" t="str">
            <v>Houston</v>
          </cell>
          <cell r="DE231" t="str">
            <v>City of Suffolk</v>
          </cell>
        </row>
        <row r="232">
          <cell r="BK232">
            <v>14</v>
          </cell>
          <cell r="BP232" t="str">
            <v>Parts of San Mateo County</v>
          </cell>
          <cell r="BU232" t="str">
            <v>Balance of State Seacoast 1</v>
          </cell>
          <cell r="CQ232" t="str">
            <v>Elizabeth</v>
          </cell>
          <cell r="CT232" t="str">
            <v>Miscellaneous</v>
          </cell>
          <cell r="CU232" t="str">
            <v>Cities Surrounding Cleveland</v>
          </cell>
          <cell r="CX232" t="str">
            <v>Dauphin County within 5 Miles of Harrisburg and Cities in Berks</v>
          </cell>
          <cell r="DC232" t="str">
            <v>Remainder of Harris County</v>
          </cell>
        </row>
        <row r="233">
          <cell r="BK233">
            <v>15</v>
          </cell>
          <cell r="BP233" t="str">
            <v>City of Oakland</v>
          </cell>
          <cell r="BU233" t="str">
            <v>Balance of State Seacoast 2</v>
          </cell>
          <cell r="BZ233" t="str">
            <v>Fire Zone I - Balance of state</v>
          </cell>
          <cell r="CE233" t="str">
            <v>Brookline, Malden, Medford, Quincy, Watertown, Winthrop</v>
          </cell>
          <cell r="CQ233" t="str">
            <v>Monmouth County - Beach, Ocean County - Beach, New Brunswick, Bergen County, Union and Middlesex County, North of Raritan River</v>
          </cell>
          <cell r="CT233" t="str">
            <v>Miscellaneous</v>
          </cell>
          <cell r="CU233" t="str">
            <v>City of Columbus</v>
          </cell>
          <cell r="DC233" t="str">
            <v>Remainder of Seacoast</v>
          </cell>
        </row>
        <row r="234">
          <cell r="BK234">
            <v>16</v>
          </cell>
          <cell r="BP234" t="str">
            <v>Parts of Alameda, and Contra Costa</v>
          </cell>
          <cell r="BU234" t="str">
            <v>Balance of State Seacoast 3</v>
          </cell>
          <cell r="BZ234" t="str">
            <v>Fire Zone II - Balance of state</v>
          </cell>
          <cell r="CE234" t="str">
            <v>Balance of Essex, Middlesex, And norfolk Counties</v>
          </cell>
          <cell r="CQ234" t="str">
            <v>Monmouth County - Beach, Ocean County - Beach, New Brunswick, Bergen County, Union and Middlesex County, North of Raritan River</v>
          </cell>
          <cell r="CT234" t="str">
            <v>Suffolk County</v>
          </cell>
          <cell r="CU234" t="str">
            <v>Franklin County Within 5 Miles of Columbus</v>
          </cell>
          <cell r="CX234" t="str">
            <v>Coutnies in Southern Pennsylvania</v>
          </cell>
          <cell r="DC234" t="str">
            <v>North/Northwest I</v>
          </cell>
        </row>
        <row r="235">
          <cell r="BK235">
            <v>17</v>
          </cell>
          <cell r="BP235" t="str">
            <v>City of Los Angeles</v>
          </cell>
          <cell r="BU235" t="str">
            <v>City of Tampa</v>
          </cell>
          <cell r="CE235" t="str">
            <v>Cities in Middlesex And Balance of State</v>
          </cell>
          <cell r="CQ235" t="str">
            <v>Remainder of Middlesex, Monmouth and Passaic Counties and Rest of State</v>
          </cell>
          <cell r="CT235" t="str">
            <v>Miscellaneous</v>
          </cell>
          <cell r="CU235" t="str">
            <v>City of Dayton</v>
          </cell>
          <cell r="CX235" t="str">
            <v>Fire Zone 2</v>
          </cell>
          <cell r="DC235" t="str">
            <v>North/Northwest II</v>
          </cell>
        </row>
        <row r="236">
          <cell r="BK236">
            <v>18</v>
          </cell>
          <cell r="BP236" t="str">
            <v>Parts of District I</v>
          </cell>
          <cell r="CQ236" t="str">
            <v>Jersery City</v>
          </cell>
          <cell r="CU236" t="str">
            <v>Stark, Bal. Of Cuyahoga, Franklin, Montgomery and Rest of State</v>
          </cell>
        </row>
        <row r="237">
          <cell r="BK237">
            <v>19</v>
          </cell>
          <cell r="BP237" t="str">
            <v>Parts of District II</v>
          </cell>
          <cell r="CQ237" t="str">
            <v>Hudson County - East of Hackensack River</v>
          </cell>
          <cell r="CT237" t="str">
            <v>Miscellaneous</v>
          </cell>
          <cell r="CX237" t="str">
            <v>Fire Zone 2</v>
          </cell>
        </row>
        <row r="238">
          <cell r="BK238">
            <v>20</v>
          </cell>
          <cell r="BP238" t="str">
            <v>City of Long Beach</v>
          </cell>
          <cell r="CT238" t="str">
            <v>American Dock Stores and Pers in Richmond County</v>
          </cell>
        </row>
        <row r="239">
          <cell r="BK239">
            <v>21</v>
          </cell>
          <cell r="BP239" t="str">
            <v>City of San Diego</v>
          </cell>
          <cell r="CQ239" t="str">
            <v>Hudson County - West of Hackensack River</v>
          </cell>
          <cell r="CT239" t="str">
            <v>Miscellaneous</v>
          </cell>
        </row>
        <row r="240">
          <cell r="BK240">
            <v>22</v>
          </cell>
          <cell r="BP240" t="str">
            <v>San Diego County Outside of SD City Limits - Dist I</v>
          </cell>
          <cell r="CQ240" t="str">
            <v>Newark</v>
          </cell>
        </row>
        <row r="241">
          <cell r="BK241">
            <v>23</v>
          </cell>
          <cell r="BP241" t="str">
            <v>San Diego County Outside of SD City Limits - Dist II</v>
          </cell>
        </row>
        <row r="242">
          <cell r="BK242">
            <v>24</v>
          </cell>
          <cell r="BP242" t="str">
            <v>City of Sacremento</v>
          </cell>
        </row>
        <row r="243">
          <cell r="BK243">
            <v>25</v>
          </cell>
          <cell r="BP243" t="str">
            <v>Fresno, Kern, San Jaoquin, Sacremento County, Excluding Sacremento</v>
          </cell>
        </row>
        <row r="244">
          <cell r="BK244">
            <v>26</v>
          </cell>
          <cell r="BP244" t="str">
            <v>Parts of San Bernadino - Dist. I</v>
          </cell>
        </row>
        <row r="245">
          <cell r="BK245">
            <v>27</v>
          </cell>
          <cell r="BP245" t="str">
            <v>Parts of San Bernadino - Dist. II</v>
          </cell>
          <cell r="CT245" t="str">
            <v>New York City</v>
          </cell>
        </row>
        <row r="246">
          <cell r="BK246">
            <v>28</v>
          </cell>
          <cell r="BP246" t="str">
            <v>Remainder San Mateo</v>
          </cell>
          <cell r="CT246" t="str">
            <v>New York City</v>
          </cell>
        </row>
        <row r="247">
          <cell r="BK247">
            <v>29</v>
          </cell>
          <cell r="BP247" t="str">
            <v>Remainder of District I</v>
          </cell>
          <cell r="CT247" t="str">
            <v>New York City</v>
          </cell>
        </row>
        <row r="248">
          <cell r="BK248">
            <v>30</v>
          </cell>
          <cell r="BP248" t="str">
            <v>Remainder of District II</v>
          </cell>
          <cell r="CT248" t="str">
            <v>New York City</v>
          </cell>
        </row>
        <row r="249">
          <cell r="BK249">
            <v>31</v>
          </cell>
          <cell r="BP249" t="str">
            <v>City of San Jose</v>
          </cell>
          <cell r="CT249" t="str">
            <v>New York City</v>
          </cell>
        </row>
        <row r="250">
          <cell r="BK250">
            <v>32</v>
          </cell>
          <cell r="CT250" t="str">
            <v>New York City</v>
          </cell>
        </row>
        <row r="251">
          <cell r="BK251">
            <v>33</v>
          </cell>
          <cell r="CT251" t="str">
            <v>New York City</v>
          </cell>
        </row>
        <row r="252">
          <cell r="BK252">
            <v>34</v>
          </cell>
          <cell r="CT252" t="str">
            <v>New York City</v>
          </cell>
        </row>
        <row r="253">
          <cell r="BK253">
            <v>35</v>
          </cell>
          <cell r="CT253" t="str">
            <v>New York City</v>
          </cell>
        </row>
        <row r="254">
          <cell r="BK254">
            <v>36</v>
          </cell>
          <cell r="CT254" t="str">
            <v>New York City</v>
          </cell>
        </row>
        <row r="255">
          <cell r="BK255">
            <v>37</v>
          </cell>
          <cell r="CT255" t="str">
            <v>Putnam County &amp; Parts of Westchester</v>
          </cell>
        </row>
        <row r="256">
          <cell r="BK256">
            <v>38</v>
          </cell>
          <cell r="CT256" t="str">
            <v>Suffolk County</v>
          </cell>
        </row>
        <row r="257">
          <cell r="BK257">
            <v>39</v>
          </cell>
          <cell r="CT257" t="str">
            <v>Rockland County</v>
          </cell>
        </row>
        <row r="258">
          <cell r="BK258">
            <v>40</v>
          </cell>
          <cell r="CX258" t="str">
            <v>Counties of N.&amp; W. Pennsylvania Excluding Allegheny and Erie</v>
          </cell>
          <cell r="DG258">
            <v>0.60299999999999998</v>
          </cell>
        </row>
      </sheetData>
      <sheetData sheetId="13">
        <row r="8">
          <cell r="Q8" t="str">
            <v>Wholesale</v>
          </cell>
          <cell r="R8">
            <v>1</v>
          </cell>
        </row>
        <row r="9">
          <cell r="A9" t="str">
            <v>0100</v>
          </cell>
          <cell r="B9" t="str">
            <v>Farm/Ag</v>
          </cell>
          <cell r="C9" t="str">
            <v>NA</v>
          </cell>
          <cell r="F9" t="str">
            <v>0100</v>
          </cell>
          <cell r="G9" t="str">
            <v>Farm/Ag</v>
          </cell>
          <cell r="H9" t="str">
            <v>NA</v>
          </cell>
          <cell r="J9">
            <v>1</v>
          </cell>
          <cell r="K9">
            <v>0.5</v>
          </cell>
          <cell r="Q9" t="str">
            <v>Retail</v>
          </cell>
          <cell r="R9">
            <v>1</v>
          </cell>
        </row>
        <row r="10">
          <cell r="A10" t="str">
            <v>0111</v>
          </cell>
          <cell r="B10" t="str">
            <v>Farm/Ag</v>
          </cell>
          <cell r="C10" t="str">
            <v>NA</v>
          </cell>
          <cell r="F10" t="str">
            <v>0111</v>
          </cell>
          <cell r="G10" t="str">
            <v>Farm/Ag</v>
          </cell>
          <cell r="H10" t="str">
            <v>NA</v>
          </cell>
          <cell r="J10">
            <v>2</v>
          </cell>
          <cell r="K10">
            <v>0.625</v>
          </cell>
          <cell r="Q10" t="str">
            <v>Office</v>
          </cell>
          <cell r="R10">
            <v>0.6</v>
          </cell>
        </row>
        <row r="11">
          <cell r="A11" t="str">
            <v>0112</v>
          </cell>
          <cell r="B11" t="str">
            <v>Farm/Ag</v>
          </cell>
          <cell r="C11" t="str">
            <v>NA</v>
          </cell>
          <cell r="F11" t="str">
            <v>0112</v>
          </cell>
          <cell r="G11" t="str">
            <v>Farm/Ag</v>
          </cell>
          <cell r="H11" t="str">
            <v>NA</v>
          </cell>
          <cell r="J11">
            <v>3</v>
          </cell>
          <cell r="K11">
            <v>0.75</v>
          </cell>
          <cell r="Q11" t="str">
            <v>Services</v>
          </cell>
          <cell r="R11">
            <v>1.1000000000000001</v>
          </cell>
        </row>
        <row r="12">
          <cell r="A12" t="str">
            <v>0115</v>
          </cell>
          <cell r="B12" t="str">
            <v>Farm/Ag</v>
          </cell>
          <cell r="C12" t="str">
            <v>NA</v>
          </cell>
          <cell r="F12" t="str">
            <v>0115</v>
          </cell>
          <cell r="G12" t="str">
            <v>Farm/Ag</v>
          </cell>
          <cell r="H12" t="str">
            <v>NA</v>
          </cell>
          <cell r="J12">
            <v>4</v>
          </cell>
          <cell r="K12">
            <v>0.875</v>
          </cell>
          <cell r="Q12" t="str">
            <v>Contractors</v>
          </cell>
          <cell r="R12" t="e">
            <v>#N/A</v>
          </cell>
        </row>
        <row r="13">
          <cell r="A13" t="str">
            <v>0116</v>
          </cell>
          <cell r="B13" t="str">
            <v>Farm/Ag</v>
          </cell>
          <cell r="C13" t="str">
            <v>NA</v>
          </cell>
          <cell r="F13" t="str">
            <v>0116</v>
          </cell>
          <cell r="G13" t="str">
            <v>Farm/Ag</v>
          </cell>
          <cell r="H13" t="str">
            <v>NA</v>
          </cell>
          <cell r="J13">
            <v>5</v>
          </cell>
          <cell r="K13">
            <v>1</v>
          </cell>
          <cell r="Q13" t="str">
            <v>Habitational</v>
          </cell>
          <cell r="R13" t="e">
            <v>#N/A</v>
          </cell>
        </row>
        <row r="14">
          <cell r="A14" t="str">
            <v>0119</v>
          </cell>
          <cell r="B14" t="str">
            <v>Farm/Ag</v>
          </cell>
          <cell r="C14" t="str">
            <v>NA</v>
          </cell>
          <cell r="F14" t="str">
            <v>0119</v>
          </cell>
          <cell r="G14" t="str">
            <v>Farm/Ag</v>
          </cell>
          <cell r="H14" t="str">
            <v>NA</v>
          </cell>
          <cell r="J14">
            <v>6</v>
          </cell>
          <cell r="K14">
            <v>1.1000000000000001</v>
          </cell>
          <cell r="M14" t="str">
            <v>Frame</v>
          </cell>
          <cell r="N14">
            <v>1.075</v>
          </cell>
          <cell r="Q14" t="str">
            <v>High Tech</v>
          </cell>
          <cell r="R14">
            <v>1.25</v>
          </cell>
        </row>
        <row r="15">
          <cell r="A15" t="str">
            <v>0131</v>
          </cell>
          <cell r="B15" t="str">
            <v>Farm/Ag</v>
          </cell>
          <cell r="C15" t="str">
            <v>NA</v>
          </cell>
          <cell r="F15" t="str">
            <v>0131</v>
          </cell>
          <cell r="G15" t="str">
            <v>Farm/Ag</v>
          </cell>
          <cell r="H15" t="str">
            <v>NA</v>
          </cell>
          <cell r="J15">
            <v>7</v>
          </cell>
          <cell r="K15">
            <v>1.2</v>
          </cell>
          <cell r="M15" t="str">
            <v>Joisted Masonry</v>
          </cell>
          <cell r="N15">
            <v>0.9</v>
          </cell>
          <cell r="Q15" t="str">
            <v>Manufacturing</v>
          </cell>
          <cell r="R15" t="e">
            <v>#N/A</v>
          </cell>
        </row>
        <row r="16">
          <cell r="A16" t="str">
            <v>0132</v>
          </cell>
          <cell r="B16" t="str">
            <v>Farm/Ag</v>
          </cell>
          <cell r="C16" t="str">
            <v>NA</v>
          </cell>
          <cell r="F16" t="str">
            <v>0132</v>
          </cell>
          <cell r="G16" t="str">
            <v>Farm/Ag</v>
          </cell>
          <cell r="H16" t="str">
            <v>NA</v>
          </cell>
          <cell r="J16">
            <v>8</v>
          </cell>
          <cell r="K16">
            <v>1.3</v>
          </cell>
          <cell r="M16" t="str">
            <v>Non Combustible</v>
          </cell>
          <cell r="N16">
            <v>0.77500000000000002</v>
          </cell>
        </row>
        <row r="17">
          <cell r="A17" t="str">
            <v>0133</v>
          </cell>
          <cell r="B17" t="str">
            <v>Farm/Ag</v>
          </cell>
          <cell r="C17" t="str">
            <v>NA</v>
          </cell>
          <cell r="F17" t="str">
            <v>0133</v>
          </cell>
          <cell r="G17" t="str">
            <v>Farm/Ag</v>
          </cell>
          <cell r="H17" t="str">
            <v>NA</v>
          </cell>
          <cell r="J17">
            <v>9</v>
          </cell>
          <cell r="K17">
            <v>1.4</v>
          </cell>
          <cell r="M17" t="str">
            <v>Masonry Non Combustible</v>
          </cell>
          <cell r="N17">
            <v>0.72499999999999998</v>
          </cell>
        </row>
        <row r="18">
          <cell r="A18" t="str">
            <v>0134</v>
          </cell>
          <cell r="B18" t="str">
            <v>Farm/Ag</v>
          </cell>
          <cell r="C18" t="str">
            <v>NA</v>
          </cell>
          <cell r="F18" t="str">
            <v>0134</v>
          </cell>
          <cell r="G18" t="str">
            <v>Farm/Ag</v>
          </cell>
          <cell r="H18" t="str">
            <v>NA</v>
          </cell>
          <cell r="J18">
            <v>10</v>
          </cell>
          <cell r="K18">
            <v>1.5</v>
          </cell>
          <cell r="M18" t="str">
            <v>Fire Resistive</v>
          </cell>
          <cell r="N18">
            <v>0.60499999999999998</v>
          </cell>
        </row>
        <row r="19">
          <cell r="A19" t="str">
            <v>0139</v>
          </cell>
          <cell r="B19" t="str">
            <v>Farm/Ag</v>
          </cell>
          <cell r="C19" t="str">
            <v>NA</v>
          </cell>
          <cell r="F19" t="str">
            <v>0139</v>
          </cell>
          <cell r="G19" t="str">
            <v>Farm/Ag</v>
          </cell>
          <cell r="H19" t="str">
            <v>NA</v>
          </cell>
        </row>
        <row r="20">
          <cell r="A20" t="str">
            <v>0161</v>
          </cell>
          <cell r="B20" t="str">
            <v>Farm/Ag</v>
          </cell>
          <cell r="C20" t="str">
            <v>NA</v>
          </cell>
          <cell r="F20" t="str">
            <v>0161</v>
          </cell>
          <cell r="G20" t="str">
            <v>Farm/Ag</v>
          </cell>
          <cell r="H20" t="str">
            <v>NA</v>
          </cell>
        </row>
        <row r="21">
          <cell r="A21" t="str">
            <v>0171</v>
          </cell>
          <cell r="B21" t="str">
            <v>Farm/Ag</v>
          </cell>
          <cell r="C21" t="str">
            <v>NA</v>
          </cell>
          <cell r="F21" t="str">
            <v>0171</v>
          </cell>
          <cell r="G21" t="str">
            <v>Farm/Ag</v>
          </cell>
          <cell r="H21" t="str">
            <v>NA</v>
          </cell>
        </row>
        <row r="22">
          <cell r="A22" t="str">
            <v>0172</v>
          </cell>
          <cell r="B22" t="str">
            <v>Farm/Ag</v>
          </cell>
          <cell r="C22" t="str">
            <v>NA</v>
          </cell>
          <cell r="F22" t="str">
            <v>0172</v>
          </cell>
          <cell r="G22" t="str">
            <v>Farm/Ag</v>
          </cell>
          <cell r="H22" t="str">
            <v>NA</v>
          </cell>
          <cell r="M22" t="str">
            <v>01-04</v>
          </cell>
          <cell r="N22">
            <v>0.92</v>
          </cell>
          <cell r="Q22">
            <v>300000</v>
          </cell>
          <cell r="R22">
            <v>1</v>
          </cell>
        </row>
        <row r="23">
          <cell r="A23" t="str">
            <v>0173</v>
          </cell>
          <cell r="B23" t="str">
            <v>Farm/Ag</v>
          </cell>
          <cell r="C23" t="str">
            <v>NA</v>
          </cell>
          <cell r="F23" t="str">
            <v>0173</v>
          </cell>
          <cell r="G23" t="str">
            <v>Farm/Ag</v>
          </cell>
          <cell r="H23" t="str">
            <v>NA</v>
          </cell>
          <cell r="J23">
            <v>1</v>
          </cell>
          <cell r="K23">
            <v>0.5</v>
          </cell>
          <cell r="M23" t="str">
            <v>05-06</v>
          </cell>
          <cell r="N23">
            <v>1</v>
          </cell>
          <cell r="Q23">
            <v>500000</v>
          </cell>
          <cell r="R23">
            <v>1.57</v>
          </cell>
        </row>
        <row r="24">
          <cell r="A24" t="str">
            <v>0174</v>
          </cell>
          <cell r="B24" t="str">
            <v>Farm/Ag</v>
          </cell>
          <cell r="C24" t="str">
            <v>NA</v>
          </cell>
          <cell r="F24" t="str">
            <v>0174</v>
          </cell>
          <cell r="G24" t="str">
            <v>Farm/Ag</v>
          </cell>
          <cell r="H24" t="str">
            <v>NA</v>
          </cell>
          <cell r="J24">
            <v>2</v>
          </cell>
          <cell r="K24">
            <v>0.625</v>
          </cell>
          <cell r="M24" t="str">
            <v>07-08</v>
          </cell>
          <cell r="N24">
            <v>1.18</v>
          </cell>
          <cell r="Q24">
            <v>1000000</v>
          </cell>
          <cell r="R24">
            <v>2.35</v>
          </cell>
        </row>
        <row r="25">
          <cell r="A25" t="str">
            <v>0175</v>
          </cell>
          <cell r="B25" t="str">
            <v>Farm/Ag</v>
          </cell>
          <cell r="C25" t="str">
            <v>NA</v>
          </cell>
          <cell r="F25" t="str">
            <v>0175</v>
          </cell>
          <cell r="G25" t="str">
            <v>Farm/Ag</v>
          </cell>
          <cell r="H25" t="str">
            <v>NA</v>
          </cell>
          <cell r="J25">
            <v>3</v>
          </cell>
          <cell r="K25">
            <v>0.75</v>
          </cell>
          <cell r="M25" t="str">
            <v>09-10</v>
          </cell>
          <cell r="N25">
            <v>1.42</v>
          </cell>
          <cell r="Q25">
            <v>2000000</v>
          </cell>
          <cell r="R25">
            <v>3.15</v>
          </cell>
        </row>
        <row r="26">
          <cell r="A26" t="str">
            <v>0179</v>
          </cell>
          <cell r="B26" t="str">
            <v>Farm/Ag</v>
          </cell>
          <cell r="C26" t="str">
            <v>NA</v>
          </cell>
          <cell r="F26" t="str">
            <v>0179</v>
          </cell>
          <cell r="G26" t="str">
            <v>Farm/Ag</v>
          </cell>
          <cell r="H26" t="str">
            <v>NA</v>
          </cell>
          <cell r="J26">
            <v>4</v>
          </cell>
          <cell r="K26">
            <v>0.875</v>
          </cell>
        </row>
        <row r="27">
          <cell r="A27" t="str">
            <v>0181</v>
          </cell>
          <cell r="B27" t="str">
            <v>Farm/Ag</v>
          </cell>
          <cell r="C27" t="str">
            <v>NA</v>
          </cell>
          <cell r="F27" t="str">
            <v>0181</v>
          </cell>
          <cell r="G27" t="str">
            <v>Farm/Ag</v>
          </cell>
          <cell r="H27" t="str">
            <v>NA</v>
          </cell>
          <cell r="J27">
            <v>5</v>
          </cell>
          <cell r="K27">
            <v>1</v>
          </cell>
        </row>
        <row r="28">
          <cell r="A28" t="str">
            <v>0182</v>
          </cell>
          <cell r="B28" t="str">
            <v>Farm/Ag</v>
          </cell>
          <cell r="C28" t="str">
            <v>NA</v>
          </cell>
          <cell r="F28" t="str">
            <v>0182</v>
          </cell>
          <cell r="G28" t="str">
            <v>Farm/Ag</v>
          </cell>
          <cell r="H28" t="str">
            <v>NA</v>
          </cell>
          <cell r="J28">
            <v>6</v>
          </cell>
          <cell r="K28">
            <v>1.1000000000000001</v>
          </cell>
        </row>
        <row r="29">
          <cell r="A29" t="str">
            <v>0191</v>
          </cell>
          <cell r="B29" t="str">
            <v>Farm/Ag</v>
          </cell>
          <cell r="C29" t="str">
            <v>NA</v>
          </cell>
          <cell r="F29" t="str">
            <v>0191</v>
          </cell>
          <cell r="G29" t="str">
            <v>Farm/Ag</v>
          </cell>
          <cell r="H29" t="str">
            <v>NA</v>
          </cell>
          <cell r="J29">
            <v>7</v>
          </cell>
          <cell r="K29">
            <v>1.2</v>
          </cell>
          <cell r="M29" t="str">
            <v>Wholesale</v>
          </cell>
          <cell r="N29">
            <v>1</v>
          </cell>
        </row>
        <row r="30">
          <cell r="A30" t="str">
            <v>0200</v>
          </cell>
          <cell r="B30" t="str">
            <v>Farm/Ag</v>
          </cell>
          <cell r="C30" t="str">
            <v>NA</v>
          </cell>
          <cell r="F30" t="str">
            <v>0200</v>
          </cell>
          <cell r="G30" t="str">
            <v>Farm/Ag</v>
          </cell>
          <cell r="H30" t="str">
            <v>NA</v>
          </cell>
          <cell r="J30">
            <v>8</v>
          </cell>
          <cell r="K30">
            <v>1.3</v>
          </cell>
          <cell r="M30" t="str">
            <v>Retail</v>
          </cell>
          <cell r="N30">
            <v>1</v>
          </cell>
        </row>
        <row r="31">
          <cell r="A31" t="str">
            <v>0211</v>
          </cell>
          <cell r="B31" t="str">
            <v>Farm/Ag</v>
          </cell>
          <cell r="C31" t="str">
            <v>NA</v>
          </cell>
          <cell r="F31" t="str">
            <v>0211</v>
          </cell>
          <cell r="G31" t="str">
            <v>Farm/Ag</v>
          </cell>
          <cell r="H31" t="str">
            <v>NA</v>
          </cell>
          <cell r="J31">
            <v>9</v>
          </cell>
          <cell r="K31">
            <v>1.4</v>
          </cell>
          <cell r="M31" t="str">
            <v>Office</v>
          </cell>
          <cell r="N31">
            <v>0.6</v>
          </cell>
        </row>
        <row r="32">
          <cell r="A32" t="str">
            <v>0212</v>
          </cell>
          <cell r="B32" t="str">
            <v>Farm/Ag</v>
          </cell>
          <cell r="C32" t="str">
            <v>NA</v>
          </cell>
          <cell r="F32" t="str">
            <v>0212</v>
          </cell>
          <cell r="G32" t="str">
            <v>Farm/Ag</v>
          </cell>
          <cell r="H32" t="str">
            <v>NA</v>
          </cell>
          <cell r="J32">
            <v>10</v>
          </cell>
          <cell r="K32">
            <v>1.5</v>
          </cell>
          <cell r="M32" t="str">
            <v>Services</v>
          </cell>
          <cell r="N32">
            <v>0.75</v>
          </cell>
        </row>
        <row r="33">
          <cell r="A33" t="str">
            <v>0213</v>
          </cell>
          <cell r="B33" t="str">
            <v>Farm/Ag</v>
          </cell>
          <cell r="C33" t="str">
            <v>NA</v>
          </cell>
          <cell r="F33" t="str">
            <v>0213</v>
          </cell>
          <cell r="G33" t="str">
            <v>Farm/Ag</v>
          </cell>
          <cell r="H33" t="str">
            <v>NA</v>
          </cell>
          <cell r="M33" t="str">
            <v>Contractors</v>
          </cell>
          <cell r="N33" t="e">
            <v>#N/A</v>
          </cell>
        </row>
        <row r="34">
          <cell r="A34" t="str">
            <v>0214</v>
          </cell>
          <cell r="B34" t="str">
            <v>Farm/Ag</v>
          </cell>
          <cell r="C34" t="str">
            <v>NA</v>
          </cell>
          <cell r="F34" t="str">
            <v>0214</v>
          </cell>
          <cell r="G34" t="str">
            <v>Farm/Ag</v>
          </cell>
          <cell r="H34" t="str">
            <v>NA</v>
          </cell>
          <cell r="M34" t="str">
            <v>Habitational</v>
          </cell>
          <cell r="N34" t="e">
            <v>#N/A</v>
          </cell>
        </row>
        <row r="35">
          <cell r="A35" t="str">
            <v>0219</v>
          </cell>
          <cell r="B35" t="str">
            <v>Farm/Ag</v>
          </cell>
          <cell r="C35" t="str">
            <v>NA</v>
          </cell>
          <cell r="F35" t="str">
            <v>0219</v>
          </cell>
          <cell r="G35" t="str">
            <v>Farm/Ag</v>
          </cell>
          <cell r="H35" t="str">
            <v>NA</v>
          </cell>
          <cell r="M35" t="str">
            <v>High Tech</v>
          </cell>
          <cell r="N35">
            <v>1.5</v>
          </cell>
        </row>
        <row r="36">
          <cell r="A36" t="str">
            <v>0241</v>
          </cell>
          <cell r="B36" t="str">
            <v>Farm/Ag</v>
          </cell>
          <cell r="C36" t="str">
            <v>NA</v>
          </cell>
          <cell r="F36" t="str">
            <v>0241</v>
          </cell>
          <cell r="G36" t="str">
            <v>Farm/Ag</v>
          </cell>
          <cell r="H36" t="str">
            <v>NA</v>
          </cell>
          <cell r="M36" t="str">
            <v>Manufacturing</v>
          </cell>
          <cell r="N36" t="e">
            <v>#N/A</v>
          </cell>
        </row>
        <row r="37">
          <cell r="A37" t="str">
            <v>0251</v>
          </cell>
          <cell r="B37" t="str">
            <v>Farm/Ag</v>
          </cell>
          <cell r="C37" t="str">
            <v>NA</v>
          </cell>
          <cell r="F37" t="str">
            <v>0251</v>
          </cell>
          <cell r="G37" t="str">
            <v>Farm/Ag</v>
          </cell>
          <cell r="H37" t="str">
            <v>NA</v>
          </cell>
        </row>
        <row r="38">
          <cell r="A38" t="str">
            <v>0252</v>
          </cell>
          <cell r="B38" t="str">
            <v>Farm/Ag</v>
          </cell>
          <cell r="C38" t="str">
            <v>NA</v>
          </cell>
          <cell r="F38" t="str">
            <v>0252</v>
          </cell>
          <cell r="G38" t="str">
            <v>Farm/Ag</v>
          </cell>
          <cell r="H38" t="str">
            <v>NA</v>
          </cell>
        </row>
        <row r="39">
          <cell r="A39" t="str">
            <v>0253</v>
          </cell>
          <cell r="B39" t="str">
            <v>Farm/Ag</v>
          </cell>
          <cell r="C39" t="str">
            <v>NA</v>
          </cell>
          <cell r="F39" t="str">
            <v>0253</v>
          </cell>
          <cell r="G39" t="str">
            <v>Farm/Ag</v>
          </cell>
          <cell r="H39" t="str">
            <v>NA</v>
          </cell>
        </row>
        <row r="40">
          <cell r="A40" t="str">
            <v>0254</v>
          </cell>
          <cell r="B40" t="str">
            <v>Farm/Ag</v>
          </cell>
          <cell r="C40" t="str">
            <v>NA</v>
          </cell>
          <cell r="F40" t="str">
            <v>0254</v>
          </cell>
          <cell r="G40" t="str">
            <v>Farm/Ag</v>
          </cell>
          <cell r="H40" t="str">
            <v>NA</v>
          </cell>
        </row>
        <row r="41">
          <cell r="A41" t="str">
            <v>0259</v>
          </cell>
          <cell r="B41" t="str">
            <v>Farm/Ag</v>
          </cell>
          <cell r="C41" t="str">
            <v>NA</v>
          </cell>
          <cell r="F41" t="str">
            <v>0259</v>
          </cell>
          <cell r="G41" t="str">
            <v>Farm/Ag</v>
          </cell>
          <cell r="H41" t="str">
            <v>NA</v>
          </cell>
        </row>
        <row r="42">
          <cell r="A42" t="str">
            <v>0271</v>
          </cell>
          <cell r="B42" t="str">
            <v>Farm/Ag</v>
          </cell>
          <cell r="C42" t="str">
            <v>NA</v>
          </cell>
          <cell r="F42" t="str">
            <v>0271</v>
          </cell>
          <cell r="G42" t="str">
            <v>Farm/Ag</v>
          </cell>
          <cell r="H42" t="str">
            <v>NA</v>
          </cell>
          <cell r="J42">
            <v>500</v>
          </cell>
          <cell r="K42">
            <v>1</v>
          </cell>
        </row>
        <row r="43">
          <cell r="A43" t="str">
            <v>0272</v>
          </cell>
          <cell r="B43" t="str">
            <v>Farm/Ag</v>
          </cell>
          <cell r="C43" t="str">
            <v>NA</v>
          </cell>
          <cell r="F43" t="str">
            <v>0272</v>
          </cell>
          <cell r="G43" t="str">
            <v>Farm/Ag</v>
          </cell>
          <cell r="H43" t="str">
            <v>NA</v>
          </cell>
          <cell r="J43">
            <v>1000</v>
          </cell>
          <cell r="K43">
            <v>0.95</v>
          </cell>
        </row>
        <row r="44">
          <cell r="A44" t="str">
            <v>0273</v>
          </cell>
          <cell r="B44" t="str">
            <v>Farm/Ag</v>
          </cell>
          <cell r="C44" t="str">
            <v>NA</v>
          </cell>
          <cell r="F44" t="str">
            <v>0273</v>
          </cell>
          <cell r="G44" t="str">
            <v>Farm/Ag</v>
          </cell>
          <cell r="H44" t="str">
            <v>NA</v>
          </cell>
          <cell r="J44">
            <v>2500</v>
          </cell>
          <cell r="K44">
            <v>0.875</v>
          </cell>
        </row>
        <row r="45">
          <cell r="A45" t="str">
            <v>0279</v>
          </cell>
          <cell r="B45" t="str">
            <v>Farm/Ag</v>
          </cell>
          <cell r="C45" t="str">
            <v>NA</v>
          </cell>
          <cell r="F45" t="str">
            <v>0279</v>
          </cell>
          <cell r="G45" t="str">
            <v>Farm/Ag</v>
          </cell>
          <cell r="H45" t="str">
            <v>NA</v>
          </cell>
          <cell r="J45">
            <v>5000</v>
          </cell>
          <cell r="K45">
            <v>0.8</v>
          </cell>
        </row>
        <row r="46">
          <cell r="A46" t="str">
            <v>0291</v>
          </cell>
          <cell r="B46" t="str">
            <v>Farm/Ag</v>
          </cell>
          <cell r="C46" t="str">
            <v>NA</v>
          </cell>
          <cell r="F46" t="str">
            <v>0291</v>
          </cell>
          <cell r="G46" t="str">
            <v>Farm/Ag</v>
          </cell>
          <cell r="H46" t="str">
            <v>NA</v>
          </cell>
          <cell r="J46">
            <v>10000</v>
          </cell>
          <cell r="K46">
            <v>0.72499999999999998</v>
          </cell>
        </row>
        <row r="47">
          <cell r="A47" t="str">
            <v>0711</v>
          </cell>
          <cell r="B47" t="str">
            <v>Farm/Ag</v>
          </cell>
          <cell r="C47" t="str">
            <v>NA</v>
          </cell>
          <cell r="F47" t="str">
            <v>0711</v>
          </cell>
          <cell r="G47" t="str">
            <v>Farm/Ag</v>
          </cell>
          <cell r="H47" t="str">
            <v>NA</v>
          </cell>
        </row>
        <row r="48">
          <cell r="A48" t="str">
            <v>0721</v>
          </cell>
          <cell r="B48" t="str">
            <v>Farm/Ag</v>
          </cell>
          <cell r="C48" t="str">
            <v>NA</v>
          </cell>
          <cell r="F48" t="str">
            <v>0721</v>
          </cell>
          <cell r="G48" t="str">
            <v>Farm/Ag</v>
          </cell>
          <cell r="H48" t="str">
            <v>NA</v>
          </cell>
        </row>
        <row r="49">
          <cell r="A49" t="str">
            <v>0722</v>
          </cell>
          <cell r="B49" t="str">
            <v>Farm/Ag</v>
          </cell>
          <cell r="C49" t="str">
            <v>NA</v>
          </cell>
          <cell r="F49" t="str">
            <v>0722</v>
          </cell>
          <cell r="G49" t="str">
            <v>Farm/Ag</v>
          </cell>
          <cell r="H49" t="str">
            <v>NA</v>
          </cell>
        </row>
        <row r="50">
          <cell r="A50" t="str">
            <v>0723</v>
          </cell>
          <cell r="B50" t="str">
            <v>Farm/Ag</v>
          </cell>
          <cell r="C50" t="str">
            <v>NA</v>
          </cell>
          <cell r="F50" t="str">
            <v>0723</v>
          </cell>
          <cell r="G50" t="str">
            <v>Farm/Ag</v>
          </cell>
          <cell r="H50" t="str">
            <v>NA</v>
          </cell>
        </row>
        <row r="51">
          <cell r="A51" t="str">
            <v>0724</v>
          </cell>
          <cell r="B51" t="str">
            <v>Farm/Ag</v>
          </cell>
          <cell r="C51" t="str">
            <v>NA</v>
          </cell>
          <cell r="F51" t="str">
            <v>0724</v>
          </cell>
          <cell r="G51" t="str">
            <v>Farm/Ag</v>
          </cell>
          <cell r="H51" t="str">
            <v>NA</v>
          </cell>
        </row>
        <row r="52">
          <cell r="A52" t="str">
            <v>0741</v>
          </cell>
          <cell r="B52" t="str">
            <v>Services</v>
          </cell>
          <cell r="C52" t="str">
            <v>NA</v>
          </cell>
          <cell r="F52" t="str">
            <v>0741</v>
          </cell>
          <cell r="G52" t="str">
            <v>Services</v>
          </cell>
          <cell r="H52" t="str">
            <v>NA</v>
          </cell>
        </row>
        <row r="53">
          <cell r="A53" t="str">
            <v>0742</v>
          </cell>
          <cell r="B53" t="str">
            <v>Services</v>
          </cell>
          <cell r="C53">
            <v>4</v>
          </cell>
          <cell r="F53" t="str">
            <v>0742</v>
          </cell>
          <cell r="G53" t="str">
            <v>Services</v>
          </cell>
          <cell r="H53">
            <v>4</v>
          </cell>
        </row>
        <row r="54">
          <cell r="A54" t="str">
            <v>0751</v>
          </cell>
          <cell r="B54" t="str">
            <v>Services</v>
          </cell>
          <cell r="C54" t="str">
            <v>NA</v>
          </cell>
          <cell r="F54" t="str">
            <v>0751</v>
          </cell>
          <cell r="G54" t="str">
            <v>Services</v>
          </cell>
          <cell r="H54" t="str">
            <v>NA</v>
          </cell>
        </row>
        <row r="55">
          <cell r="A55" t="str">
            <v>0752</v>
          </cell>
          <cell r="B55" t="str">
            <v>Services</v>
          </cell>
          <cell r="C55">
            <v>4</v>
          </cell>
          <cell r="F55" t="str">
            <v>0752</v>
          </cell>
          <cell r="G55" t="str">
            <v>Services</v>
          </cell>
          <cell r="H55">
            <v>5</v>
          </cell>
        </row>
        <row r="56">
          <cell r="A56" t="str">
            <v>0761</v>
          </cell>
          <cell r="B56" t="str">
            <v>Farm/Ag</v>
          </cell>
          <cell r="C56" t="str">
            <v>NA</v>
          </cell>
          <cell r="F56" t="str">
            <v>0761</v>
          </cell>
          <cell r="G56" t="str">
            <v>Farm/Ag</v>
          </cell>
          <cell r="H56" t="str">
            <v>NA</v>
          </cell>
        </row>
        <row r="57">
          <cell r="A57" t="str">
            <v>0762</v>
          </cell>
          <cell r="B57" t="str">
            <v>Farm/Ag</v>
          </cell>
          <cell r="C57" t="str">
            <v>NA</v>
          </cell>
          <cell r="F57" t="str">
            <v>0762</v>
          </cell>
          <cell r="G57" t="str">
            <v>Farm/Ag</v>
          </cell>
          <cell r="H57" t="str">
            <v>NA</v>
          </cell>
        </row>
        <row r="58">
          <cell r="A58" t="str">
            <v>0781</v>
          </cell>
          <cell r="B58" t="str">
            <v>Services</v>
          </cell>
          <cell r="C58" t="str">
            <v>NA</v>
          </cell>
          <cell r="F58" t="str">
            <v>0781</v>
          </cell>
          <cell r="G58" t="str">
            <v>Services</v>
          </cell>
          <cell r="H58" t="str">
            <v>NA</v>
          </cell>
        </row>
        <row r="59">
          <cell r="A59" t="str">
            <v>0782</v>
          </cell>
          <cell r="B59" t="str">
            <v>Services</v>
          </cell>
          <cell r="C59" t="str">
            <v>NA</v>
          </cell>
          <cell r="F59" t="str">
            <v>0782</v>
          </cell>
          <cell r="G59" t="str">
            <v>Services</v>
          </cell>
          <cell r="H59" t="str">
            <v>NA</v>
          </cell>
        </row>
        <row r="60">
          <cell r="A60" t="str">
            <v>0783</v>
          </cell>
          <cell r="B60" t="str">
            <v>Services</v>
          </cell>
          <cell r="C60" t="str">
            <v>NA</v>
          </cell>
          <cell r="F60" t="str">
            <v>0783</v>
          </cell>
          <cell r="G60" t="str">
            <v>Services</v>
          </cell>
          <cell r="H60" t="str">
            <v>NA</v>
          </cell>
        </row>
        <row r="61">
          <cell r="A61" t="str">
            <v>0811</v>
          </cell>
          <cell r="B61" t="str">
            <v>Farm/Ag</v>
          </cell>
          <cell r="C61" t="str">
            <v>NA</v>
          </cell>
          <cell r="F61" t="str">
            <v>0811</v>
          </cell>
          <cell r="G61" t="str">
            <v>Farm/Ag</v>
          </cell>
          <cell r="H61" t="str">
            <v>NA</v>
          </cell>
        </row>
        <row r="62">
          <cell r="A62" t="str">
            <v>0831</v>
          </cell>
          <cell r="B62" t="str">
            <v>Farm/Ag</v>
          </cell>
          <cell r="C62" t="str">
            <v>NA</v>
          </cell>
          <cell r="F62" t="str">
            <v>0831</v>
          </cell>
          <cell r="G62" t="str">
            <v>Farm/Ag</v>
          </cell>
          <cell r="H62" t="str">
            <v>NA</v>
          </cell>
        </row>
        <row r="63">
          <cell r="A63" t="str">
            <v>0851</v>
          </cell>
          <cell r="B63" t="str">
            <v>Farm/Ag</v>
          </cell>
          <cell r="C63" t="str">
            <v>NA</v>
          </cell>
          <cell r="F63" t="str">
            <v>0851</v>
          </cell>
          <cell r="G63" t="str">
            <v>Farm/Ag</v>
          </cell>
          <cell r="H63" t="str">
            <v>NA</v>
          </cell>
        </row>
        <row r="64">
          <cell r="A64" t="str">
            <v>0912</v>
          </cell>
          <cell r="B64" t="str">
            <v>Farm/Ag</v>
          </cell>
          <cell r="C64" t="str">
            <v>NA</v>
          </cell>
          <cell r="F64" t="str">
            <v>0912</v>
          </cell>
          <cell r="G64" t="str">
            <v>Farm/Ag</v>
          </cell>
          <cell r="H64" t="str">
            <v>NA</v>
          </cell>
        </row>
        <row r="65">
          <cell r="A65" t="str">
            <v>0913</v>
          </cell>
          <cell r="B65" t="str">
            <v>Farm/Ag</v>
          </cell>
          <cell r="C65" t="str">
            <v>NA</v>
          </cell>
          <cell r="F65" t="str">
            <v>0913</v>
          </cell>
          <cell r="G65" t="str">
            <v>Farm/Ag</v>
          </cell>
          <cell r="H65" t="str">
            <v>NA</v>
          </cell>
        </row>
        <row r="66">
          <cell r="A66" t="str">
            <v>0919</v>
          </cell>
          <cell r="B66" t="str">
            <v>Farm/Ag</v>
          </cell>
          <cell r="C66" t="str">
            <v>NA</v>
          </cell>
          <cell r="F66" t="str">
            <v>0919</v>
          </cell>
          <cell r="G66" t="str">
            <v>Farm/Ag</v>
          </cell>
          <cell r="H66" t="str">
            <v>NA</v>
          </cell>
        </row>
        <row r="67">
          <cell r="A67" t="str">
            <v>0921</v>
          </cell>
          <cell r="B67" t="str">
            <v>Farm/Ag</v>
          </cell>
          <cell r="C67" t="str">
            <v>NA</v>
          </cell>
          <cell r="F67" t="str">
            <v>0921</v>
          </cell>
          <cell r="G67" t="str">
            <v>Farm/Ag</v>
          </cell>
          <cell r="H67" t="str">
            <v>NA</v>
          </cell>
        </row>
        <row r="68">
          <cell r="A68" t="str">
            <v>0971</v>
          </cell>
          <cell r="B68" t="str">
            <v>Farm/Ag</v>
          </cell>
          <cell r="C68" t="str">
            <v>NA</v>
          </cell>
          <cell r="F68" t="str">
            <v>0971</v>
          </cell>
          <cell r="G68" t="str">
            <v>Farm/Ag</v>
          </cell>
          <cell r="H68" t="str">
            <v>NA</v>
          </cell>
        </row>
        <row r="69">
          <cell r="A69" t="str">
            <v>1011</v>
          </cell>
          <cell r="B69" t="str">
            <v>Ind &amp; Proc.</v>
          </cell>
          <cell r="C69" t="str">
            <v>NA</v>
          </cell>
          <cell r="F69" t="str">
            <v>1011</v>
          </cell>
          <cell r="G69" t="str">
            <v>Ind &amp; Proc.</v>
          </cell>
          <cell r="H69" t="str">
            <v>NA</v>
          </cell>
        </row>
        <row r="70">
          <cell r="A70" t="str">
            <v>1021</v>
          </cell>
          <cell r="B70" t="str">
            <v>Ind &amp; Proc.</v>
          </cell>
          <cell r="C70" t="str">
            <v>NA</v>
          </cell>
          <cell r="F70" t="str">
            <v>1021</v>
          </cell>
          <cell r="G70" t="str">
            <v>Ind &amp; Proc.</v>
          </cell>
          <cell r="H70" t="str">
            <v>NA</v>
          </cell>
        </row>
        <row r="71">
          <cell r="A71" t="str">
            <v>1031</v>
          </cell>
          <cell r="B71" t="str">
            <v>Ind &amp; Proc.</v>
          </cell>
          <cell r="C71" t="str">
            <v>NA</v>
          </cell>
          <cell r="F71" t="str">
            <v>1031</v>
          </cell>
          <cell r="G71" t="str">
            <v>Ind &amp; Proc.</v>
          </cell>
          <cell r="H71" t="str">
            <v>NA</v>
          </cell>
        </row>
        <row r="72">
          <cell r="A72" t="str">
            <v>1041</v>
          </cell>
          <cell r="B72" t="str">
            <v>Ind &amp; Proc.</v>
          </cell>
          <cell r="C72" t="str">
            <v>NA</v>
          </cell>
          <cell r="F72" t="str">
            <v>1041</v>
          </cell>
          <cell r="G72" t="str">
            <v>Ind &amp; Proc.</v>
          </cell>
          <cell r="H72" t="str">
            <v>NA</v>
          </cell>
        </row>
        <row r="73">
          <cell r="A73" t="str">
            <v>1044</v>
          </cell>
          <cell r="B73" t="str">
            <v>Ind &amp; Proc.</v>
          </cell>
          <cell r="C73" t="str">
            <v>NA</v>
          </cell>
          <cell r="F73" t="str">
            <v>1044</v>
          </cell>
          <cell r="G73" t="str">
            <v>Ind &amp; Proc.</v>
          </cell>
          <cell r="H73" t="str">
            <v>NA</v>
          </cell>
        </row>
        <row r="74">
          <cell r="A74" t="str">
            <v>1061</v>
          </cell>
          <cell r="B74" t="str">
            <v>Ind &amp; Proc.</v>
          </cell>
          <cell r="C74" t="str">
            <v>NA</v>
          </cell>
          <cell r="F74" t="str">
            <v>1061</v>
          </cell>
          <cell r="G74" t="str">
            <v>Ind &amp; Proc.</v>
          </cell>
          <cell r="H74" t="str">
            <v>NA</v>
          </cell>
        </row>
        <row r="75">
          <cell r="A75" t="str">
            <v>1081</v>
          </cell>
          <cell r="B75" t="str">
            <v>Ind &amp; Proc.</v>
          </cell>
          <cell r="C75" t="str">
            <v>NA</v>
          </cell>
          <cell r="F75" t="str">
            <v>1081</v>
          </cell>
          <cell r="G75" t="str">
            <v>Ind &amp; Proc.</v>
          </cell>
          <cell r="H75" t="str">
            <v>NA</v>
          </cell>
        </row>
        <row r="76">
          <cell r="A76" t="str">
            <v>1094</v>
          </cell>
          <cell r="B76" t="str">
            <v>Ind &amp; Proc.</v>
          </cell>
          <cell r="C76" t="str">
            <v>NA</v>
          </cell>
          <cell r="F76" t="str">
            <v>1094</v>
          </cell>
          <cell r="G76" t="str">
            <v>Ind &amp; Proc.</v>
          </cell>
          <cell r="H76" t="str">
            <v>NA</v>
          </cell>
        </row>
        <row r="77">
          <cell r="A77" t="str">
            <v>1099</v>
          </cell>
          <cell r="B77" t="str">
            <v>Ind &amp; Proc.</v>
          </cell>
          <cell r="C77" t="str">
            <v>NA</v>
          </cell>
          <cell r="F77" t="str">
            <v>1099</v>
          </cell>
          <cell r="G77" t="str">
            <v>Ind &amp; Proc.</v>
          </cell>
          <cell r="H77" t="str">
            <v>NA</v>
          </cell>
        </row>
        <row r="78">
          <cell r="A78" t="str">
            <v>1221</v>
          </cell>
          <cell r="B78" t="str">
            <v>Ind &amp; Proc.</v>
          </cell>
          <cell r="C78" t="str">
            <v>NA</v>
          </cell>
          <cell r="F78" t="str">
            <v>1221</v>
          </cell>
          <cell r="G78" t="str">
            <v>Ind &amp; Proc.</v>
          </cell>
          <cell r="H78" t="str">
            <v>NA</v>
          </cell>
        </row>
        <row r="79">
          <cell r="A79" t="str">
            <v>1222</v>
          </cell>
          <cell r="B79" t="str">
            <v>Ind &amp; Proc.</v>
          </cell>
          <cell r="C79" t="str">
            <v>NA</v>
          </cell>
          <cell r="F79" t="str">
            <v>1222</v>
          </cell>
          <cell r="G79" t="str">
            <v>Ind &amp; Proc.</v>
          </cell>
          <cell r="H79" t="str">
            <v>NA</v>
          </cell>
        </row>
        <row r="80">
          <cell r="A80" t="str">
            <v>1231</v>
          </cell>
          <cell r="B80" t="str">
            <v>Ind &amp; Proc.</v>
          </cell>
          <cell r="C80" t="str">
            <v>NA</v>
          </cell>
          <cell r="F80" t="str">
            <v>1231</v>
          </cell>
          <cell r="G80" t="str">
            <v>Ind &amp; Proc.</v>
          </cell>
          <cell r="H80" t="str">
            <v>NA</v>
          </cell>
        </row>
        <row r="81">
          <cell r="A81" t="str">
            <v>1241</v>
          </cell>
          <cell r="B81" t="str">
            <v>Ind &amp; Proc.</v>
          </cell>
          <cell r="C81" t="str">
            <v>NA</v>
          </cell>
          <cell r="F81" t="str">
            <v>1241</v>
          </cell>
          <cell r="G81" t="str">
            <v>Ind &amp; Proc.</v>
          </cell>
          <cell r="H81" t="str">
            <v>NA</v>
          </cell>
        </row>
        <row r="82">
          <cell r="A82" t="str">
            <v>1311</v>
          </cell>
          <cell r="B82" t="str">
            <v>Ind &amp; Proc.</v>
          </cell>
          <cell r="C82" t="str">
            <v>NA</v>
          </cell>
          <cell r="F82" t="str">
            <v>1311</v>
          </cell>
          <cell r="G82" t="str">
            <v>Ind &amp; Proc.</v>
          </cell>
          <cell r="H82" t="str">
            <v>NA</v>
          </cell>
        </row>
        <row r="83">
          <cell r="A83" t="str">
            <v>1321</v>
          </cell>
          <cell r="B83" t="str">
            <v>Ind &amp; Proc.</v>
          </cell>
          <cell r="C83" t="str">
            <v>NA</v>
          </cell>
          <cell r="F83" t="str">
            <v>1321</v>
          </cell>
          <cell r="G83" t="str">
            <v>Ind &amp; Proc.</v>
          </cell>
          <cell r="H83" t="str">
            <v>NA</v>
          </cell>
        </row>
        <row r="84">
          <cell r="A84" t="str">
            <v>1381</v>
          </cell>
          <cell r="B84" t="str">
            <v>Ind &amp; Proc.</v>
          </cell>
          <cell r="C84" t="str">
            <v>NA</v>
          </cell>
          <cell r="F84" t="str">
            <v>1381</v>
          </cell>
          <cell r="G84" t="str">
            <v>Ind &amp; Proc.</v>
          </cell>
          <cell r="H84" t="str">
            <v>NA</v>
          </cell>
        </row>
        <row r="85">
          <cell r="A85" t="str">
            <v>1382</v>
          </cell>
          <cell r="B85" t="str">
            <v>Ind &amp; Proc.</v>
          </cell>
          <cell r="C85" t="str">
            <v>NA</v>
          </cell>
          <cell r="F85" t="str">
            <v>1382</v>
          </cell>
          <cell r="G85" t="str">
            <v>Ind &amp; Proc.</v>
          </cell>
          <cell r="H85" t="str">
            <v>NA</v>
          </cell>
        </row>
        <row r="86">
          <cell r="A86" t="str">
            <v>1389</v>
          </cell>
          <cell r="B86" t="str">
            <v>Ind &amp; Proc.</v>
          </cell>
          <cell r="C86" t="str">
            <v>NA</v>
          </cell>
          <cell r="F86" t="str">
            <v>1389</v>
          </cell>
          <cell r="G86" t="str">
            <v>Ind &amp; Proc.</v>
          </cell>
          <cell r="H86" t="str">
            <v>NA</v>
          </cell>
        </row>
        <row r="87">
          <cell r="A87" t="str">
            <v>1400</v>
          </cell>
          <cell r="B87" t="str">
            <v>Ind &amp; Proc.</v>
          </cell>
          <cell r="C87" t="str">
            <v>NA</v>
          </cell>
          <cell r="F87" t="str">
            <v>1400</v>
          </cell>
          <cell r="G87" t="str">
            <v>Ind &amp; Proc.</v>
          </cell>
          <cell r="H87" t="str">
            <v>NA</v>
          </cell>
        </row>
        <row r="88">
          <cell r="A88" t="str">
            <v>1411</v>
          </cell>
          <cell r="B88" t="str">
            <v>Ind &amp; Proc.</v>
          </cell>
          <cell r="C88" t="str">
            <v>NA</v>
          </cell>
          <cell r="F88" t="str">
            <v>1411</v>
          </cell>
          <cell r="G88" t="str">
            <v>Ind &amp; Proc.</v>
          </cell>
          <cell r="H88" t="str">
            <v>NA</v>
          </cell>
        </row>
        <row r="89">
          <cell r="A89" t="str">
            <v>1422</v>
          </cell>
          <cell r="B89" t="str">
            <v>Ind &amp; Proc.</v>
          </cell>
          <cell r="C89" t="str">
            <v>NA</v>
          </cell>
          <cell r="F89" t="str">
            <v>1422</v>
          </cell>
          <cell r="G89" t="str">
            <v>Ind &amp; Proc.</v>
          </cell>
          <cell r="H89" t="str">
            <v>NA</v>
          </cell>
        </row>
        <row r="90">
          <cell r="A90" t="str">
            <v>1423</v>
          </cell>
          <cell r="B90" t="str">
            <v>Ind &amp; Proc.</v>
          </cell>
          <cell r="C90" t="str">
            <v>NA</v>
          </cell>
          <cell r="F90" t="str">
            <v>1423</v>
          </cell>
          <cell r="G90" t="str">
            <v>Ind &amp; Proc.</v>
          </cell>
          <cell r="H90" t="str">
            <v>NA</v>
          </cell>
        </row>
        <row r="91">
          <cell r="A91" t="str">
            <v>1429</v>
          </cell>
          <cell r="B91" t="str">
            <v>Ind &amp; Proc.</v>
          </cell>
          <cell r="C91" t="str">
            <v>NA</v>
          </cell>
          <cell r="F91" t="str">
            <v>1429</v>
          </cell>
          <cell r="G91" t="str">
            <v>Ind &amp; Proc.</v>
          </cell>
          <cell r="H91" t="str">
            <v>NA</v>
          </cell>
        </row>
        <row r="92">
          <cell r="A92" t="str">
            <v>1442</v>
          </cell>
          <cell r="B92" t="str">
            <v>Ind &amp; Proc.</v>
          </cell>
          <cell r="C92" t="str">
            <v>NA</v>
          </cell>
          <cell r="F92" t="str">
            <v>1442</v>
          </cell>
          <cell r="G92" t="str">
            <v>Ind &amp; Proc.</v>
          </cell>
          <cell r="H92" t="str">
            <v>NA</v>
          </cell>
        </row>
        <row r="93">
          <cell r="A93" t="str">
            <v>1446</v>
          </cell>
          <cell r="B93" t="str">
            <v>Ind &amp; Proc.</v>
          </cell>
          <cell r="C93" t="str">
            <v>NA</v>
          </cell>
          <cell r="F93" t="str">
            <v>1446</v>
          </cell>
          <cell r="G93" t="str">
            <v>Ind &amp; Proc.</v>
          </cell>
          <cell r="H93" t="str">
            <v>NA</v>
          </cell>
        </row>
        <row r="94">
          <cell r="A94" t="str">
            <v>1455</v>
          </cell>
          <cell r="B94" t="str">
            <v>Ind &amp; Proc.</v>
          </cell>
          <cell r="C94" t="str">
            <v>NA</v>
          </cell>
          <cell r="F94" t="str">
            <v>1455</v>
          </cell>
          <cell r="G94" t="str">
            <v>Ind &amp; Proc.</v>
          </cell>
          <cell r="H94" t="str">
            <v>NA</v>
          </cell>
        </row>
        <row r="95">
          <cell r="A95" t="str">
            <v>1459</v>
          </cell>
          <cell r="B95" t="str">
            <v>Ind &amp; Proc.</v>
          </cell>
          <cell r="C95" t="str">
            <v>NA</v>
          </cell>
          <cell r="F95" t="str">
            <v>1459</v>
          </cell>
          <cell r="G95" t="str">
            <v>Ind &amp; Proc.</v>
          </cell>
          <cell r="H95" t="str">
            <v>NA</v>
          </cell>
        </row>
        <row r="96">
          <cell r="A96" t="str">
            <v>1474</v>
          </cell>
          <cell r="B96" t="str">
            <v>Ind &amp; Proc.</v>
          </cell>
          <cell r="C96" t="str">
            <v>NA</v>
          </cell>
          <cell r="F96" t="str">
            <v>1474</v>
          </cell>
          <cell r="G96" t="str">
            <v>Ind &amp; Proc.</v>
          </cell>
          <cell r="H96" t="str">
            <v>NA</v>
          </cell>
        </row>
        <row r="97">
          <cell r="A97" t="str">
            <v>1475</v>
          </cell>
          <cell r="B97" t="str">
            <v>Ind &amp; Proc.</v>
          </cell>
          <cell r="C97" t="str">
            <v>NA</v>
          </cell>
          <cell r="F97" t="str">
            <v>1475</v>
          </cell>
          <cell r="G97" t="str">
            <v>Ind &amp; Proc.</v>
          </cell>
          <cell r="H97" t="str">
            <v>NA</v>
          </cell>
        </row>
        <row r="98">
          <cell r="A98" t="str">
            <v>1479</v>
          </cell>
          <cell r="B98" t="str">
            <v>Ind &amp; Proc.</v>
          </cell>
          <cell r="C98" t="str">
            <v>NA</v>
          </cell>
          <cell r="F98" t="str">
            <v>1479</v>
          </cell>
          <cell r="G98" t="str">
            <v>Ind &amp; Proc.</v>
          </cell>
          <cell r="H98" t="str">
            <v>NA</v>
          </cell>
        </row>
        <row r="99">
          <cell r="A99" t="str">
            <v>1481</v>
          </cell>
          <cell r="B99" t="str">
            <v>Ind &amp; Proc.</v>
          </cell>
          <cell r="C99" t="str">
            <v>NA</v>
          </cell>
          <cell r="F99" t="str">
            <v>1481</v>
          </cell>
          <cell r="G99" t="str">
            <v>Ind &amp; Proc.</v>
          </cell>
          <cell r="H99" t="str">
            <v>NA</v>
          </cell>
        </row>
        <row r="100">
          <cell r="A100" t="str">
            <v>1499</v>
          </cell>
          <cell r="B100" t="str">
            <v>Ind &amp; Proc.</v>
          </cell>
          <cell r="C100" t="str">
            <v>NA</v>
          </cell>
          <cell r="F100" t="str">
            <v>1499</v>
          </cell>
          <cell r="G100" t="str">
            <v>Ind &amp; Proc.</v>
          </cell>
          <cell r="H100" t="str">
            <v>NA</v>
          </cell>
        </row>
        <row r="101">
          <cell r="A101" t="str">
            <v>1521</v>
          </cell>
          <cell r="B101" t="str">
            <v>Contractors</v>
          </cell>
          <cell r="C101" t="str">
            <v>NA</v>
          </cell>
          <cell r="F101" t="str">
            <v>1521</v>
          </cell>
          <cell r="G101" t="str">
            <v>Contractors</v>
          </cell>
          <cell r="H101" t="str">
            <v>NA</v>
          </cell>
        </row>
        <row r="102">
          <cell r="A102" t="str">
            <v>1522</v>
          </cell>
          <cell r="B102" t="str">
            <v>Contractors</v>
          </cell>
          <cell r="C102" t="str">
            <v>NA</v>
          </cell>
          <cell r="F102" t="str">
            <v>1522</v>
          </cell>
          <cell r="G102" t="str">
            <v>Contractors</v>
          </cell>
          <cell r="H102" t="str">
            <v>NA</v>
          </cell>
        </row>
        <row r="103">
          <cell r="A103" t="str">
            <v>1531</v>
          </cell>
          <cell r="B103" t="str">
            <v>Contractors</v>
          </cell>
          <cell r="C103" t="str">
            <v>NA</v>
          </cell>
          <cell r="F103" t="str">
            <v>1531</v>
          </cell>
          <cell r="G103" t="str">
            <v>Contractors</v>
          </cell>
          <cell r="H103" t="str">
            <v>NA</v>
          </cell>
        </row>
        <row r="104">
          <cell r="A104" t="str">
            <v>1541</v>
          </cell>
          <cell r="B104" t="str">
            <v>Contractors</v>
          </cell>
          <cell r="C104" t="str">
            <v>NA</v>
          </cell>
          <cell r="F104" t="str">
            <v>1541</v>
          </cell>
          <cell r="G104" t="str">
            <v>Contractors</v>
          </cell>
          <cell r="H104" t="str">
            <v>NA</v>
          </cell>
        </row>
        <row r="105">
          <cell r="A105" t="str">
            <v>1542</v>
          </cell>
          <cell r="B105" t="str">
            <v>Contractors</v>
          </cell>
          <cell r="C105" t="str">
            <v>NA</v>
          </cell>
          <cell r="F105" t="str">
            <v>1542</v>
          </cell>
          <cell r="G105" t="str">
            <v>Contractors</v>
          </cell>
          <cell r="H105" t="str">
            <v>NA</v>
          </cell>
        </row>
        <row r="106">
          <cell r="A106" t="str">
            <v>1611</v>
          </cell>
          <cell r="B106" t="str">
            <v>Contractors</v>
          </cell>
          <cell r="C106" t="str">
            <v>NA</v>
          </cell>
          <cell r="F106" t="str">
            <v>1611</v>
          </cell>
          <cell r="G106" t="str">
            <v>Contractors</v>
          </cell>
          <cell r="H106" t="str">
            <v>NA</v>
          </cell>
        </row>
        <row r="107">
          <cell r="A107" t="str">
            <v>1622</v>
          </cell>
          <cell r="B107" t="str">
            <v>Contractors</v>
          </cell>
          <cell r="C107" t="str">
            <v>NA</v>
          </cell>
          <cell r="F107" t="str">
            <v>1622</v>
          </cell>
          <cell r="G107" t="str">
            <v>Contractors</v>
          </cell>
          <cell r="H107" t="str">
            <v>NA</v>
          </cell>
        </row>
        <row r="108">
          <cell r="A108" t="str">
            <v>1623</v>
          </cell>
          <cell r="B108" t="str">
            <v>Contractors</v>
          </cell>
          <cell r="C108" t="str">
            <v>NA</v>
          </cell>
          <cell r="F108" t="str">
            <v>1623</v>
          </cell>
          <cell r="G108" t="str">
            <v>Contractors</v>
          </cell>
          <cell r="H108" t="str">
            <v>NA</v>
          </cell>
        </row>
        <row r="109">
          <cell r="A109" t="str">
            <v>1629</v>
          </cell>
          <cell r="B109" t="str">
            <v>Contractors</v>
          </cell>
          <cell r="C109" t="str">
            <v>NA</v>
          </cell>
          <cell r="F109" t="str">
            <v>1629</v>
          </cell>
          <cell r="G109" t="str">
            <v>Contractors</v>
          </cell>
          <cell r="H109" t="str">
            <v>NA</v>
          </cell>
        </row>
        <row r="110">
          <cell r="A110" t="str">
            <v>1711</v>
          </cell>
          <cell r="B110" t="str">
            <v>Contractors</v>
          </cell>
          <cell r="C110" t="str">
            <v>NA</v>
          </cell>
          <cell r="F110" t="str">
            <v>1711</v>
          </cell>
          <cell r="G110" t="str">
            <v>Contractors</v>
          </cell>
          <cell r="H110" t="str">
            <v>NA</v>
          </cell>
        </row>
        <row r="111">
          <cell r="A111" t="str">
            <v>1721</v>
          </cell>
          <cell r="B111" t="str">
            <v>Contractors</v>
          </cell>
          <cell r="C111" t="str">
            <v>NA</v>
          </cell>
          <cell r="F111" t="str">
            <v>1721</v>
          </cell>
          <cell r="G111" t="str">
            <v>Contractors</v>
          </cell>
          <cell r="H111" t="str">
            <v>NA</v>
          </cell>
        </row>
        <row r="112">
          <cell r="A112" t="str">
            <v>1731</v>
          </cell>
          <cell r="B112" t="str">
            <v>Contractors</v>
          </cell>
          <cell r="C112" t="str">
            <v>NA</v>
          </cell>
          <cell r="F112" t="str">
            <v>1731</v>
          </cell>
          <cell r="G112" t="str">
            <v>Contractors</v>
          </cell>
          <cell r="H112" t="str">
            <v>NA</v>
          </cell>
        </row>
        <row r="113">
          <cell r="A113" t="str">
            <v>1741</v>
          </cell>
          <cell r="B113" t="str">
            <v>Contractors</v>
          </cell>
          <cell r="C113" t="str">
            <v>NA</v>
          </cell>
          <cell r="F113" t="str">
            <v>1741</v>
          </cell>
          <cell r="G113" t="str">
            <v>Contractors</v>
          </cell>
          <cell r="H113" t="str">
            <v>NA</v>
          </cell>
        </row>
        <row r="114">
          <cell r="A114" t="str">
            <v>1742</v>
          </cell>
          <cell r="B114" t="str">
            <v>Contractors</v>
          </cell>
          <cell r="C114" t="str">
            <v>NA</v>
          </cell>
          <cell r="F114" t="str">
            <v>1742</v>
          </cell>
          <cell r="G114" t="str">
            <v>Contractors</v>
          </cell>
          <cell r="H114" t="str">
            <v>NA</v>
          </cell>
        </row>
        <row r="115">
          <cell r="A115" t="str">
            <v>1743</v>
          </cell>
          <cell r="B115" t="str">
            <v>Contractors</v>
          </cell>
          <cell r="C115" t="str">
            <v>NA</v>
          </cell>
          <cell r="F115" t="str">
            <v>1743</v>
          </cell>
          <cell r="G115" t="str">
            <v>Contractors</v>
          </cell>
          <cell r="H115" t="str">
            <v>NA</v>
          </cell>
        </row>
        <row r="116">
          <cell r="A116" t="str">
            <v>1751</v>
          </cell>
          <cell r="B116" t="str">
            <v>Contractors</v>
          </cell>
          <cell r="C116" t="str">
            <v>NA</v>
          </cell>
          <cell r="F116" t="str">
            <v>1751</v>
          </cell>
          <cell r="G116" t="str">
            <v>Contractors</v>
          </cell>
          <cell r="H116" t="str">
            <v>NA</v>
          </cell>
        </row>
        <row r="117">
          <cell r="A117" t="str">
            <v>1752</v>
          </cell>
          <cell r="B117" t="str">
            <v>Contractors</v>
          </cell>
          <cell r="C117" t="str">
            <v>NA</v>
          </cell>
          <cell r="F117" t="str">
            <v>1752</v>
          </cell>
          <cell r="G117" t="str">
            <v>Contractors</v>
          </cell>
          <cell r="H117" t="str">
            <v>NA</v>
          </cell>
        </row>
        <row r="118">
          <cell r="A118" t="str">
            <v>1761</v>
          </cell>
          <cell r="B118" t="str">
            <v>Contractors</v>
          </cell>
          <cell r="C118" t="str">
            <v>NA</v>
          </cell>
          <cell r="F118" t="str">
            <v>1761</v>
          </cell>
          <cell r="G118" t="str">
            <v>Contractors</v>
          </cell>
          <cell r="H118" t="str">
            <v>NA</v>
          </cell>
        </row>
        <row r="119">
          <cell r="A119" t="str">
            <v>1771</v>
          </cell>
          <cell r="B119" t="str">
            <v>Contractors</v>
          </cell>
          <cell r="C119" t="str">
            <v>NA</v>
          </cell>
          <cell r="F119" t="str">
            <v>1771</v>
          </cell>
          <cell r="G119" t="str">
            <v>Contractors</v>
          </cell>
          <cell r="H119" t="str">
            <v>NA</v>
          </cell>
        </row>
        <row r="120">
          <cell r="A120" t="str">
            <v>1781</v>
          </cell>
          <cell r="B120" t="str">
            <v>Contractors</v>
          </cell>
          <cell r="C120" t="str">
            <v>NA</v>
          </cell>
          <cell r="F120" t="str">
            <v>1781</v>
          </cell>
          <cell r="G120" t="str">
            <v>Contractors</v>
          </cell>
          <cell r="H120" t="str">
            <v>NA</v>
          </cell>
        </row>
        <row r="121">
          <cell r="A121" t="str">
            <v>1791</v>
          </cell>
          <cell r="B121" t="str">
            <v>Contractors</v>
          </cell>
          <cell r="C121" t="str">
            <v>NA</v>
          </cell>
          <cell r="F121" t="str">
            <v>1791</v>
          </cell>
          <cell r="G121" t="str">
            <v>Contractors</v>
          </cell>
          <cell r="H121" t="str">
            <v>NA</v>
          </cell>
        </row>
        <row r="122">
          <cell r="A122" t="str">
            <v>1793</v>
          </cell>
          <cell r="B122" t="str">
            <v>Contractors</v>
          </cell>
          <cell r="C122" t="str">
            <v>NA</v>
          </cell>
          <cell r="F122" t="str">
            <v>1793</v>
          </cell>
          <cell r="G122" t="str">
            <v>Contractors</v>
          </cell>
          <cell r="H122" t="str">
            <v>NA</v>
          </cell>
        </row>
        <row r="123">
          <cell r="A123" t="str">
            <v>1794</v>
          </cell>
          <cell r="B123" t="str">
            <v>Contractors</v>
          </cell>
          <cell r="C123" t="str">
            <v>NA</v>
          </cell>
          <cell r="F123" t="str">
            <v>1794</v>
          </cell>
          <cell r="G123" t="str">
            <v>Contractors</v>
          </cell>
          <cell r="H123" t="str">
            <v>NA</v>
          </cell>
        </row>
        <row r="124">
          <cell r="A124" t="str">
            <v>1795</v>
          </cell>
          <cell r="B124" t="str">
            <v>Contractors</v>
          </cell>
          <cell r="C124" t="str">
            <v>NA</v>
          </cell>
          <cell r="F124" t="str">
            <v>1795</v>
          </cell>
          <cell r="G124" t="str">
            <v>Contractors</v>
          </cell>
          <cell r="H124" t="str">
            <v>NA</v>
          </cell>
        </row>
        <row r="125">
          <cell r="A125" t="str">
            <v>1796</v>
          </cell>
          <cell r="B125" t="str">
            <v>Contractors</v>
          </cell>
          <cell r="C125" t="str">
            <v>NA</v>
          </cell>
          <cell r="F125" t="str">
            <v>1796</v>
          </cell>
          <cell r="G125" t="str">
            <v>Contractors</v>
          </cell>
          <cell r="H125" t="str">
            <v>NA</v>
          </cell>
        </row>
        <row r="126">
          <cell r="A126" t="str">
            <v>1799</v>
          </cell>
          <cell r="B126" t="str">
            <v>Contractors</v>
          </cell>
          <cell r="C126" t="str">
            <v>NA</v>
          </cell>
          <cell r="F126" t="str">
            <v>1799</v>
          </cell>
          <cell r="G126" t="str">
            <v>Contractors</v>
          </cell>
          <cell r="H126" t="str">
            <v>NA</v>
          </cell>
        </row>
        <row r="127">
          <cell r="A127" t="str">
            <v>2011</v>
          </cell>
          <cell r="B127" t="str">
            <v>Manufacturing</v>
          </cell>
          <cell r="C127" t="str">
            <v>NA</v>
          </cell>
          <cell r="F127" t="str">
            <v>2011</v>
          </cell>
          <cell r="G127" t="str">
            <v>Manufacturing</v>
          </cell>
          <cell r="H127" t="str">
            <v>NA</v>
          </cell>
        </row>
        <row r="128">
          <cell r="A128" t="str">
            <v>2013</v>
          </cell>
          <cell r="B128" t="str">
            <v>Manufacturing</v>
          </cell>
          <cell r="C128" t="str">
            <v>NA</v>
          </cell>
          <cell r="F128" t="str">
            <v>2013</v>
          </cell>
          <cell r="G128" t="str">
            <v>Manufacturing</v>
          </cell>
          <cell r="H128" t="str">
            <v>NA</v>
          </cell>
        </row>
        <row r="129">
          <cell r="A129" t="str">
            <v>2015</v>
          </cell>
          <cell r="B129" t="str">
            <v>Manufacturing</v>
          </cell>
          <cell r="C129" t="str">
            <v>NA</v>
          </cell>
          <cell r="F129" t="str">
            <v>2015</v>
          </cell>
          <cell r="G129" t="str">
            <v>Manufacturing</v>
          </cell>
          <cell r="H129" t="str">
            <v>NA</v>
          </cell>
        </row>
        <row r="130">
          <cell r="A130" t="str">
            <v>2021</v>
          </cell>
          <cell r="B130" t="str">
            <v>Manufacturing</v>
          </cell>
          <cell r="C130" t="str">
            <v>NA</v>
          </cell>
          <cell r="F130" t="str">
            <v>2021</v>
          </cell>
          <cell r="G130" t="str">
            <v>Manufacturing</v>
          </cell>
          <cell r="H130" t="str">
            <v>NA</v>
          </cell>
        </row>
        <row r="131">
          <cell r="A131" t="str">
            <v>2022</v>
          </cell>
          <cell r="B131" t="str">
            <v>Manufacturing</v>
          </cell>
          <cell r="C131" t="str">
            <v>NA</v>
          </cell>
          <cell r="F131" t="str">
            <v>2022</v>
          </cell>
          <cell r="G131" t="str">
            <v>Manufacturing</v>
          </cell>
          <cell r="H131" t="str">
            <v>NA</v>
          </cell>
        </row>
        <row r="132">
          <cell r="A132" t="str">
            <v>2023</v>
          </cell>
          <cell r="B132" t="str">
            <v>Manufacturing</v>
          </cell>
          <cell r="C132" t="str">
            <v>NA</v>
          </cell>
          <cell r="F132" t="str">
            <v>2023</v>
          </cell>
          <cell r="G132" t="str">
            <v>Manufacturing</v>
          </cell>
          <cell r="H132" t="str">
            <v>NA</v>
          </cell>
        </row>
        <row r="133">
          <cell r="A133" t="str">
            <v>2024</v>
          </cell>
          <cell r="B133" t="str">
            <v>Manufacturing</v>
          </cell>
          <cell r="C133" t="str">
            <v>NA</v>
          </cell>
          <cell r="F133" t="str">
            <v>2024</v>
          </cell>
          <cell r="G133" t="str">
            <v>Manufacturing</v>
          </cell>
          <cell r="H133" t="str">
            <v>NA</v>
          </cell>
        </row>
        <row r="134">
          <cell r="A134" t="str">
            <v>2026</v>
          </cell>
          <cell r="B134" t="str">
            <v>Manufacturing</v>
          </cell>
          <cell r="C134" t="str">
            <v>NA</v>
          </cell>
          <cell r="F134" t="str">
            <v>2026</v>
          </cell>
          <cell r="G134" t="str">
            <v>Manufacturing</v>
          </cell>
          <cell r="H134" t="str">
            <v>NA</v>
          </cell>
        </row>
        <row r="135">
          <cell r="A135" t="str">
            <v>2032</v>
          </cell>
          <cell r="B135" t="str">
            <v>Manufacturing</v>
          </cell>
          <cell r="C135" t="str">
            <v>NA</v>
          </cell>
          <cell r="F135" t="str">
            <v>2032</v>
          </cell>
          <cell r="G135" t="str">
            <v>Manufacturing</v>
          </cell>
          <cell r="H135" t="str">
            <v>NA</v>
          </cell>
        </row>
        <row r="136">
          <cell r="A136" t="str">
            <v>2033</v>
          </cell>
          <cell r="B136" t="str">
            <v>Manufacturing</v>
          </cell>
          <cell r="C136" t="str">
            <v>NA</v>
          </cell>
          <cell r="F136" t="str">
            <v>2033</v>
          </cell>
          <cell r="G136" t="str">
            <v>Manufacturing</v>
          </cell>
          <cell r="H136" t="str">
            <v>NA</v>
          </cell>
        </row>
        <row r="137">
          <cell r="A137" t="str">
            <v>2034</v>
          </cell>
          <cell r="B137" t="str">
            <v>Manufacturing</v>
          </cell>
          <cell r="C137" t="str">
            <v>NA</v>
          </cell>
          <cell r="F137" t="str">
            <v>2034</v>
          </cell>
          <cell r="G137" t="str">
            <v>Manufacturing</v>
          </cell>
          <cell r="H137" t="str">
            <v>NA</v>
          </cell>
        </row>
        <row r="138">
          <cell r="A138" t="str">
            <v>2035</v>
          </cell>
          <cell r="B138" t="str">
            <v>Manufacturing</v>
          </cell>
          <cell r="C138" t="str">
            <v>NA</v>
          </cell>
          <cell r="F138" t="str">
            <v>2035</v>
          </cell>
          <cell r="G138" t="str">
            <v>Manufacturing</v>
          </cell>
          <cell r="H138" t="str">
            <v>NA</v>
          </cell>
        </row>
        <row r="139">
          <cell r="A139" t="str">
            <v>2037</v>
          </cell>
          <cell r="B139" t="str">
            <v>Manufacturing</v>
          </cell>
          <cell r="C139" t="str">
            <v>NA</v>
          </cell>
          <cell r="F139" t="str">
            <v>2037</v>
          </cell>
          <cell r="G139" t="str">
            <v>Manufacturing</v>
          </cell>
          <cell r="H139" t="str">
            <v>NA</v>
          </cell>
        </row>
        <row r="140">
          <cell r="A140" t="str">
            <v>2038</v>
          </cell>
          <cell r="B140" t="str">
            <v>Manufacturing</v>
          </cell>
          <cell r="C140" t="str">
            <v>NA</v>
          </cell>
          <cell r="F140" t="str">
            <v>2038</v>
          </cell>
          <cell r="G140" t="str">
            <v>Manufacturing</v>
          </cell>
          <cell r="H140" t="str">
            <v>NA</v>
          </cell>
        </row>
        <row r="141">
          <cell r="A141" t="str">
            <v>2041</v>
          </cell>
          <cell r="B141" t="str">
            <v>Manufacturing</v>
          </cell>
          <cell r="C141" t="str">
            <v>NA</v>
          </cell>
          <cell r="F141" t="str">
            <v>2041</v>
          </cell>
          <cell r="G141" t="str">
            <v>Manufacturing</v>
          </cell>
          <cell r="H141" t="str">
            <v>NA</v>
          </cell>
        </row>
        <row r="142">
          <cell r="A142" t="str">
            <v>2043</v>
          </cell>
          <cell r="B142" t="str">
            <v>Manufacturing</v>
          </cell>
          <cell r="C142" t="str">
            <v>NA</v>
          </cell>
          <cell r="F142" t="str">
            <v>2043</v>
          </cell>
          <cell r="G142" t="str">
            <v>Manufacturing</v>
          </cell>
          <cell r="H142" t="str">
            <v>NA</v>
          </cell>
        </row>
        <row r="143">
          <cell r="A143" t="str">
            <v>2044</v>
          </cell>
          <cell r="B143" t="str">
            <v>Manufacturing</v>
          </cell>
          <cell r="C143" t="str">
            <v>NA</v>
          </cell>
          <cell r="F143" t="str">
            <v>2044</v>
          </cell>
          <cell r="G143" t="str">
            <v>Manufacturing</v>
          </cell>
          <cell r="H143" t="str">
            <v>NA</v>
          </cell>
        </row>
        <row r="144">
          <cell r="A144" t="str">
            <v>2045</v>
          </cell>
          <cell r="B144" t="str">
            <v>Manufacturing</v>
          </cell>
          <cell r="C144" t="str">
            <v>NA</v>
          </cell>
          <cell r="F144" t="str">
            <v>2045</v>
          </cell>
          <cell r="G144" t="str">
            <v>Manufacturing</v>
          </cell>
          <cell r="H144" t="str">
            <v>NA</v>
          </cell>
        </row>
        <row r="145">
          <cell r="A145" t="str">
            <v>2046</v>
          </cell>
          <cell r="B145" t="str">
            <v>Manufacturing</v>
          </cell>
          <cell r="C145" t="str">
            <v>NA</v>
          </cell>
          <cell r="F145" t="str">
            <v>2046</v>
          </cell>
          <cell r="G145" t="str">
            <v>Manufacturing</v>
          </cell>
          <cell r="H145" t="str">
            <v>NA</v>
          </cell>
        </row>
        <row r="146">
          <cell r="A146" t="str">
            <v>2047</v>
          </cell>
          <cell r="B146" t="str">
            <v>Manufacturing</v>
          </cell>
          <cell r="C146" t="str">
            <v>NA</v>
          </cell>
          <cell r="F146" t="str">
            <v>2047</v>
          </cell>
          <cell r="G146" t="str">
            <v>Manufacturing</v>
          </cell>
          <cell r="H146" t="str">
            <v>NA</v>
          </cell>
        </row>
        <row r="147">
          <cell r="A147" t="str">
            <v>2048</v>
          </cell>
          <cell r="B147" t="str">
            <v>Manufacturing</v>
          </cell>
          <cell r="C147" t="str">
            <v>NA</v>
          </cell>
          <cell r="F147" t="str">
            <v>2048</v>
          </cell>
          <cell r="G147" t="str">
            <v>Manufacturing</v>
          </cell>
          <cell r="H147" t="str">
            <v>NA</v>
          </cell>
        </row>
        <row r="148">
          <cell r="A148" t="str">
            <v>2051</v>
          </cell>
          <cell r="B148" t="str">
            <v>Manufacturing</v>
          </cell>
          <cell r="C148" t="str">
            <v>NA</v>
          </cell>
          <cell r="F148" t="str">
            <v>2051</v>
          </cell>
          <cell r="G148" t="str">
            <v>Manufacturing</v>
          </cell>
          <cell r="H148" t="str">
            <v>NA</v>
          </cell>
        </row>
        <row r="149">
          <cell r="A149" t="str">
            <v>2052</v>
          </cell>
          <cell r="B149" t="str">
            <v>Manufacturing</v>
          </cell>
          <cell r="C149" t="str">
            <v>NA</v>
          </cell>
          <cell r="F149" t="str">
            <v>2052</v>
          </cell>
          <cell r="G149" t="str">
            <v>Manufacturing</v>
          </cell>
          <cell r="H149" t="str">
            <v>NA</v>
          </cell>
        </row>
        <row r="150">
          <cell r="A150" t="str">
            <v>2053</v>
          </cell>
          <cell r="B150" t="str">
            <v>Manufacturing</v>
          </cell>
          <cell r="C150" t="str">
            <v>NA</v>
          </cell>
          <cell r="F150" t="str">
            <v>2053</v>
          </cell>
          <cell r="G150" t="str">
            <v>Manufacturing</v>
          </cell>
          <cell r="H150" t="str">
            <v>NA</v>
          </cell>
        </row>
        <row r="151">
          <cell r="A151" t="str">
            <v>2061</v>
          </cell>
          <cell r="B151" t="str">
            <v>Manufacturing</v>
          </cell>
          <cell r="C151" t="str">
            <v>NA</v>
          </cell>
          <cell r="F151" t="str">
            <v>2061</v>
          </cell>
          <cell r="G151" t="str">
            <v>Manufacturing</v>
          </cell>
          <cell r="H151" t="str">
            <v>NA</v>
          </cell>
        </row>
        <row r="152">
          <cell r="A152" t="str">
            <v>2062</v>
          </cell>
          <cell r="B152" t="str">
            <v>Manufacturing</v>
          </cell>
          <cell r="C152" t="str">
            <v>NA</v>
          </cell>
          <cell r="F152" t="str">
            <v>2062</v>
          </cell>
          <cell r="G152" t="str">
            <v>Manufacturing</v>
          </cell>
          <cell r="H152" t="str">
            <v>NA</v>
          </cell>
        </row>
        <row r="153">
          <cell r="A153" t="str">
            <v>2063</v>
          </cell>
          <cell r="B153" t="str">
            <v>Manufacturing</v>
          </cell>
          <cell r="C153" t="str">
            <v>NA</v>
          </cell>
          <cell r="F153" t="str">
            <v>2063</v>
          </cell>
          <cell r="G153" t="str">
            <v>Manufacturing</v>
          </cell>
          <cell r="H153" t="str">
            <v>NA</v>
          </cell>
        </row>
        <row r="154">
          <cell r="A154" t="str">
            <v>2064</v>
          </cell>
          <cell r="B154" t="str">
            <v>Manufacturing</v>
          </cell>
          <cell r="C154" t="str">
            <v>NA</v>
          </cell>
          <cell r="F154" t="str">
            <v>2064</v>
          </cell>
          <cell r="G154" t="str">
            <v>Manufacturing</v>
          </cell>
          <cell r="H154" t="str">
            <v>NA</v>
          </cell>
        </row>
        <row r="155">
          <cell r="A155" t="str">
            <v>2066</v>
          </cell>
          <cell r="B155" t="str">
            <v>Manufacturing</v>
          </cell>
          <cell r="C155" t="str">
            <v>NA</v>
          </cell>
          <cell r="F155" t="str">
            <v>2066</v>
          </cell>
          <cell r="G155" t="str">
            <v>Manufacturing</v>
          </cell>
          <cell r="H155" t="str">
            <v>NA</v>
          </cell>
        </row>
        <row r="156">
          <cell r="A156" t="str">
            <v>2067</v>
          </cell>
          <cell r="B156" t="str">
            <v>Manufacturing</v>
          </cell>
          <cell r="C156" t="str">
            <v>NA</v>
          </cell>
          <cell r="F156" t="str">
            <v>2067</v>
          </cell>
          <cell r="G156" t="str">
            <v>Manufacturing</v>
          </cell>
          <cell r="H156" t="str">
            <v>NA</v>
          </cell>
        </row>
        <row r="157">
          <cell r="A157" t="str">
            <v>2068</v>
          </cell>
          <cell r="B157" t="str">
            <v>Manufacturing</v>
          </cell>
          <cell r="C157" t="str">
            <v>NA</v>
          </cell>
          <cell r="F157" t="str">
            <v>2068</v>
          </cell>
          <cell r="G157" t="str">
            <v>Manufacturing</v>
          </cell>
          <cell r="H157" t="str">
            <v>NA</v>
          </cell>
        </row>
        <row r="158">
          <cell r="A158" t="str">
            <v>2074</v>
          </cell>
          <cell r="B158" t="str">
            <v>Manufacturing</v>
          </cell>
          <cell r="C158" t="str">
            <v>NA</v>
          </cell>
          <cell r="F158" t="str">
            <v>2074</v>
          </cell>
          <cell r="G158" t="str">
            <v>Manufacturing</v>
          </cell>
          <cell r="H158" t="str">
            <v>NA</v>
          </cell>
        </row>
        <row r="159">
          <cell r="A159" t="str">
            <v>2075</v>
          </cell>
          <cell r="B159" t="str">
            <v>Manufacturing</v>
          </cell>
          <cell r="C159" t="str">
            <v>NA</v>
          </cell>
          <cell r="F159" t="str">
            <v>2075</v>
          </cell>
          <cell r="G159" t="str">
            <v>Manufacturing</v>
          </cell>
          <cell r="H159" t="str">
            <v>NA</v>
          </cell>
        </row>
        <row r="160">
          <cell r="A160" t="str">
            <v>2076</v>
          </cell>
          <cell r="B160" t="str">
            <v>Manufacturing</v>
          </cell>
          <cell r="C160" t="str">
            <v>NA</v>
          </cell>
          <cell r="F160" t="str">
            <v>2076</v>
          </cell>
          <cell r="G160" t="str">
            <v>Manufacturing</v>
          </cell>
          <cell r="H160" t="str">
            <v>NA</v>
          </cell>
        </row>
        <row r="161">
          <cell r="A161" t="str">
            <v>2077</v>
          </cell>
          <cell r="B161" t="str">
            <v>Manufacturing</v>
          </cell>
          <cell r="C161" t="str">
            <v>NA</v>
          </cell>
          <cell r="F161" t="str">
            <v>2077</v>
          </cell>
          <cell r="G161" t="str">
            <v>Manufacturing</v>
          </cell>
          <cell r="H161" t="str">
            <v>NA</v>
          </cell>
        </row>
        <row r="162">
          <cell r="A162" t="str">
            <v>2079</v>
          </cell>
          <cell r="B162" t="str">
            <v>Manufacturing</v>
          </cell>
          <cell r="C162" t="str">
            <v>NA</v>
          </cell>
          <cell r="F162" t="str">
            <v>2079</v>
          </cell>
          <cell r="G162" t="str">
            <v>Manufacturing</v>
          </cell>
          <cell r="H162" t="str">
            <v>NA</v>
          </cell>
        </row>
        <row r="163">
          <cell r="A163" t="str">
            <v>2082</v>
          </cell>
          <cell r="B163" t="str">
            <v>Manufacturing</v>
          </cell>
          <cell r="C163" t="str">
            <v>NA</v>
          </cell>
          <cell r="F163" t="str">
            <v>2082</v>
          </cell>
          <cell r="G163" t="str">
            <v>Manufacturing</v>
          </cell>
          <cell r="H163" t="str">
            <v>NA</v>
          </cell>
        </row>
        <row r="164">
          <cell r="A164" t="str">
            <v>2083</v>
          </cell>
          <cell r="B164" t="str">
            <v>Manufacturing</v>
          </cell>
          <cell r="C164" t="str">
            <v>NA</v>
          </cell>
          <cell r="F164" t="str">
            <v>2083</v>
          </cell>
          <cell r="G164" t="str">
            <v>Manufacturing</v>
          </cell>
          <cell r="H164" t="str">
            <v>NA</v>
          </cell>
        </row>
        <row r="165">
          <cell r="A165" t="str">
            <v>2084</v>
          </cell>
          <cell r="B165" t="str">
            <v>Manufacturing</v>
          </cell>
          <cell r="C165" t="str">
            <v>NA</v>
          </cell>
          <cell r="F165" t="str">
            <v>2084</v>
          </cell>
          <cell r="G165" t="str">
            <v>Manufacturing</v>
          </cell>
          <cell r="H165" t="str">
            <v>NA</v>
          </cell>
        </row>
        <row r="166">
          <cell r="A166" t="str">
            <v>2085</v>
          </cell>
          <cell r="B166" t="str">
            <v>Manufacturing</v>
          </cell>
          <cell r="C166" t="str">
            <v>NA</v>
          </cell>
          <cell r="F166" t="str">
            <v>2085</v>
          </cell>
          <cell r="G166" t="str">
            <v>Manufacturing</v>
          </cell>
          <cell r="H166" t="str">
            <v>NA</v>
          </cell>
        </row>
        <row r="167">
          <cell r="A167" t="str">
            <v>2086</v>
          </cell>
          <cell r="B167" t="str">
            <v>Manufacturing</v>
          </cell>
          <cell r="C167" t="str">
            <v>NA</v>
          </cell>
          <cell r="F167" t="str">
            <v>2086</v>
          </cell>
          <cell r="G167" t="str">
            <v>Manufacturing</v>
          </cell>
          <cell r="H167" t="str">
            <v>NA</v>
          </cell>
        </row>
        <row r="168">
          <cell r="A168" t="str">
            <v>2087</v>
          </cell>
          <cell r="B168" t="str">
            <v>Manufacturing</v>
          </cell>
          <cell r="C168" t="str">
            <v>NA</v>
          </cell>
          <cell r="F168" t="str">
            <v>2087</v>
          </cell>
          <cell r="G168" t="str">
            <v>Manufacturing</v>
          </cell>
          <cell r="H168" t="str">
            <v>NA</v>
          </cell>
        </row>
        <row r="169">
          <cell r="A169" t="str">
            <v>2091</v>
          </cell>
          <cell r="B169" t="str">
            <v>Manufacturing</v>
          </cell>
          <cell r="C169" t="str">
            <v>NA</v>
          </cell>
          <cell r="F169" t="str">
            <v>2091</v>
          </cell>
          <cell r="G169" t="str">
            <v>Manufacturing</v>
          </cell>
          <cell r="H169" t="str">
            <v>NA</v>
          </cell>
        </row>
        <row r="170">
          <cell r="A170" t="str">
            <v>2092</v>
          </cell>
          <cell r="B170" t="str">
            <v>Manufacturing</v>
          </cell>
          <cell r="C170" t="str">
            <v>NA</v>
          </cell>
          <cell r="F170" t="str">
            <v>2092</v>
          </cell>
          <cell r="G170" t="str">
            <v>Manufacturing</v>
          </cell>
          <cell r="H170" t="str">
            <v>NA</v>
          </cell>
        </row>
        <row r="171">
          <cell r="A171" t="str">
            <v>2095</v>
          </cell>
          <cell r="B171" t="str">
            <v>Manufacturing</v>
          </cell>
          <cell r="C171" t="str">
            <v>NA</v>
          </cell>
          <cell r="F171" t="str">
            <v>2095</v>
          </cell>
          <cell r="G171" t="str">
            <v>Manufacturing</v>
          </cell>
          <cell r="H171" t="str">
            <v>NA</v>
          </cell>
        </row>
        <row r="172">
          <cell r="A172" t="str">
            <v>2096</v>
          </cell>
          <cell r="B172" t="str">
            <v>Manufacturing</v>
          </cell>
          <cell r="C172" t="str">
            <v>NA</v>
          </cell>
          <cell r="F172" t="str">
            <v>2096</v>
          </cell>
          <cell r="G172" t="str">
            <v>Manufacturing</v>
          </cell>
          <cell r="H172" t="str">
            <v>NA</v>
          </cell>
        </row>
        <row r="173">
          <cell r="A173" t="str">
            <v>2097</v>
          </cell>
          <cell r="B173" t="str">
            <v>Manufacturing</v>
          </cell>
          <cell r="C173" t="str">
            <v>NA</v>
          </cell>
          <cell r="F173" t="str">
            <v>2097</v>
          </cell>
          <cell r="G173" t="str">
            <v>Manufacturing</v>
          </cell>
          <cell r="H173" t="str">
            <v>NA</v>
          </cell>
        </row>
        <row r="174">
          <cell r="A174" t="str">
            <v>2098</v>
          </cell>
          <cell r="B174" t="str">
            <v>Manufacturing</v>
          </cell>
          <cell r="C174" t="str">
            <v>NA</v>
          </cell>
          <cell r="F174" t="str">
            <v>2098</v>
          </cell>
          <cell r="G174" t="str">
            <v>Manufacturing</v>
          </cell>
          <cell r="H174" t="str">
            <v>NA</v>
          </cell>
        </row>
        <row r="175">
          <cell r="A175" t="str">
            <v>2099</v>
          </cell>
          <cell r="B175" t="str">
            <v>Manufacturing</v>
          </cell>
          <cell r="C175" t="str">
            <v>NA</v>
          </cell>
          <cell r="F175" t="str">
            <v>2099</v>
          </cell>
          <cell r="G175" t="str">
            <v>Manufacturing</v>
          </cell>
          <cell r="H175" t="str">
            <v>NA</v>
          </cell>
        </row>
        <row r="176">
          <cell r="A176" t="str">
            <v>2111</v>
          </cell>
          <cell r="B176" t="str">
            <v>Manufacturing</v>
          </cell>
          <cell r="C176" t="str">
            <v>NA</v>
          </cell>
          <cell r="F176" t="str">
            <v>2111</v>
          </cell>
          <cell r="G176" t="str">
            <v>Manufacturing</v>
          </cell>
          <cell r="H176" t="str">
            <v>NA</v>
          </cell>
        </row>
        <row r="177">
          <cell r="A177" t="str">
            <v>2121</v>
          </cell>
          <cell r="B177" t="str">
            <v>Manufacturing</v>
          </cell>
          <cell r="C177" t="str">
            <v>NA</v>
          </cell>
          <cell r="F177" t="str">
            <v>2121</v>
          </cell>
          <cell r="G177" t="str">
            <v>Manufacturing</v>
          </cell>
          <cell r="H177" t="str">
            <v>NA</v>
          </cell>
        </row>
        <row r="178">
          <cell r="A178" t="str">
            <v>2131</v>
          </cell>
          <cell r="B178" t="str">
            <v>Manufacturing</v>
          </cell>
          <cell r="C178" t="str">
            <v>NA</v>
          </cell>
          <cell r="F178" t="str">
            <v>2131</v>
          </cell>
          <cell r="G178" t="str">
            <v>Manufacturing</v>
          </cell>
          <cell r="H178" t="str">
            <v>NA</v>
          </cell>
        </row>
        <row r="179">
          <cell r="A179" t="str">
            <v>2141</v>
          </cell>
          <cell r="B179" t="str">
            <v>Manufacturing</v>
          </cell>
          <cell r="C179" t="str">
            <v>NA</v>
          </cell>
          <cell r="F179" t="str">
            <v>2141</v>
          </cell>
          <cell r="G179" t="str">
            <v>Manufacturing</v>
          </cell>
          <cell r="H179" t="str">
            <v>NA</v>
          </cell>
        </row>
        <row r="180">
          <cell r="A180" t="str">
            <v>2211</v>
          </cell>
          <cell r="B180" t="str">
            <v>Manufacturing</v>
          </cell>
          <cell r="C180" t="str">
            <v>NA</v>
          </cell>
          <cell r="F180" t="str">
            <v>2211</v>
          </cell>
          <cell r="G180" t="str">
            <v>Manufacturing</v>
          </cell>
          <cell r="H180" t="str">
            <v>NA</v>
          </cell>
        </row>
        <row r="181">
          <cell r="A181" t="str">
            <v>2221</v>
          </cell>
          <cell r="B181" t="str">
            <v>Manufacturing</v>
          </cell>
          <cell r="C181" t="str">
            <v>NA</v>
          </cell>
          <cell r="F181" t="str">
            <v>2221</v>
          </cell>
          <cell r="G181" t="str">
            <v>Manufacturing</v>
          </cell>
          <cell r="H181" t="str">
            <v>NA</v>
          </cell>
        </row>
        <row r="182">
          <cell r="A182" t="str">
            <v>2231</v>
          </cell>
          <cell r="B182" t="str">
            <v>Manufacturing</v>
          </cell>
          <cell r="C182" t="str">
            <v>NA</v>
          </cell>
          <cell r="F182" t="str">
            <v>2231</v>
          </cell>
          <cell r="G182" t="str">
            <v>Manufacturing</v>
          </cell>
          <cell r="H182" t="str">
            <v>NA</v>
          </cell>
        </row>
        <row r="183">
          <cell r="A183" t="str">
            <v>2241</v>
          </cell>
          <cell r="B183" t="str">
            <v>Manufacturing</v>
          </cell>
          <cell r="C183" t="str">
            <v>NA</v>
          </cell>
          <cell r="F183" t="str">
            <v>2241</v>
          </cell>
          <cell r="G183" t="str">
            <v>Manufacturing</v>
          </cell>
          <cell r="H183" t="str">
            <v>NA</v>
          </cell>
        </row>
        <row r="184">
          <cell r="A184" t="str">
            <v>2251</v>
          </cell>
          <cell r="B184" t="str">
            <v>Manufacturing</v>
          </cell>
          <cell r="C184" t="str">
            <v>NA</v>
          </cell>
          <cell r="F184" t="str">
            <v>2251</v>
          </cell>
          <cell r="G184" t="str">
            <v>Manufacturing</v>
          </cell>
          <cell r="H184" t="str">
            <v>NA</v>
          </cell>
        </row>
        <row r="185">
          <cell r="A185" t="str">
            <v>2252</v>
          </cell>
          <cell r="B185" t="str">
            <v>Manufacturing</v>
          </cell>
          <cell r="C185" t="str">
            <v>NA</v>
          </cell>
          <cell r="F185" t="str">
            <v>2252</v>
          </cell>
          <cell r="G185" t="str">
            <v>Manufacturing</v>
          </cell>
          <cell r="H185" t="str">
            <v>NA</v>
          </cell>
        </row>
        <row r="186">
          <cell r="A186" t="str">
            <v>2253</v>
          </cell>
          <cell r="B186" t="str">
            <v>Manufacturing</v>
          </cell>
          <cell r="C186" t="str">
            <v>NA</v>
          </cell>
          <cell r="F186" t="str">
            <v>2253</v>
          </cell>
          <cell r="G186" t="str">
            <v>Manufacturing</v>
          </cell>
          <cell r="H186" t="str">
            <v>NA</v>
          </cell>
        </row>
        <row r="187">
          <cell r="A187" t="str">
            <v>2254</v>
          </cell>
          <cell r="B187" t="str">
            <v>Manufacturing</v>
          </cell>
          <cell r="C187" t="str">
            <v>NA</v>
          </cell>
          <cell r="F187" t="str">
            <v>2254</v>
          </cell>
          <cell r="G187" t="str">
            <v>Manufacturing</v>
          </cell>
          <cell r="H187" t="str">
            <v>NA</v>
          </cell>
        </row>
        <row r="188">
          <cell r="A188" t="str">
            <v>2257</v>
          </cell>
          <cell r="B188" t="str">
            <v>Manufacturing</v>
          </cell>
          <cell r="C188" t="str">
            <v>NA</v>
          </cell>
          <cell r="F188" t="str">
            <v>2257</v>
          </cell>
          <cell r="G188" t="str">
            <v>Manufacturing</v>
          </cell>
          <cell r="H188" t="str">
            <v>NA</v>
          </cell>
        </row>
        <row r="189">
          <cell r="A189" t="str">
            <v>2258</v>
          </cell>
          <cell r="B189" t="str">
            <v>Manufacturing</v>
          </cell>
          <cell r="C189" t="str">
            <v>NA</v>
          </cell>
          <cell r="F189" t="str">
            <v>2258</v>
          </cell>
          <cell r="G189" t="str">
            <v>Manufacturing</v>
          </cell>
          <cell r="H189" t="str">
            <v>NA</v>
          </cell>
        </row>
        <row r="190">
          <cell r="A190" t="str">
            <v>2259</v>
          </cell>
          <cell r="B190" t="str">
            <v>Manufacturing</v>
          </cell>
          <cell r="C190" t="str">
            <v>NA</v>
          </cell>
          <cell r="F190" t="str">
            <v>2259</v>
          </cell>
          <cell r="G190" t="str">
            <v>Manufacturing</v>
          </cell>
          <cell r="H190" t="str">
            <v>NA</v>
          </cell>
        </row>
        <row r="191">
          <cell r="A191" t="str">
            <v>2261</v>
          </cell>
          <cell r="B191" t="str">
            <v>Manufacturing</v>
          </cell>
          <cell r="C191" t="str">
            <v>NA</v>
          </cell>
          <cell r="F191" t="str">
            <v>2261</v>
          </cell>
          <cell r="G191" t="str">
            <v>Manufacturing</v>
          </cell>
          <cell r="H191" t="str">
            <v>NA</v>
          </cell>
        </row>
        <row r="192">
          <cell r="A192" t="str">
            <v>2262</v>
          </cell>
          <cell r="B192" t="str">
            <v>Manufacturing</v>
          </cell>
          <cell r="C192" t="str">
            <v>NA</v>
          </cell>
          <cell r="F192" t="str">
            <v>2262</v>
          </cell>
          <cell r="G192" t="str">
            <v>Manufacturing</v>
          </cell>
          <cell r="H192" t="str">
            <v>NA</v>
          </cell>
        </row>
        <row r="193">
          <cell r="A193" t="str">
            <v>2269</v>
          </cell>
          <cell r="B193" t="str">
            <v>Manufacturing</v>
          </cell>
          <cell r="C193" t="str">
            <v>NA</v>
          </cell>
          <cell r="F193" t="str">
            <v>2269</v>
          </cell>
          <cell r="G193" t="str">
            <v>Manufacturing</v>
          </cell>
          <cell r="H193" t="str">
            <v>NA</v>
          </cell>
        </row>
        <row r="194">
          <cell r="A194" t="str">
            <v>2273</v>
          </cell>
          <cell r="B194" t="str">
            <v>Manufacturing</v>
          </cell>
          <cell r="C194" t="str">
            <v>NA</v>
          </cell>
          <cell r="F194" t="str">
            <v>2273</v>
          </cell>
          <cell r="G194" t="str">
            <v>Manufacturing</v>
          </cell>
          <cell r="H194" t="str">
            <v>NA</v>
          </cell>
        </row>
        <row r="195">
          <cell r="A195" t="str">
            <v>2281</v>
          </cell>
          <cell r="B195" t="str">
            <v>Manufacturing</v>
          </cell>
          <cell r="C195" t="str">
            <v>NA</v>
          </cell>
          <cell r="F195" t="str">
            <v>2281</v>
          </cell>
          <cell r="G195" t="str">
            <v>Manufacturing</v>
          </cell>
          <cell r="H195" t="str">
            <v>NA</v>
          </cell>
        </row>
        <row r="196">
          <cell r="A196" t="str">
            <v>2282</v>
          </cell>
          <cell r="B196" t="str">
            <v>Manufacturing</v>
          </cell>
          <cell r="C196" t="str">
            <v>NA</v>
          </cell>
          <cell r="F196" t="str">
            <v>2282</v>
          </cell>
          <cell r="G196" t="str">
            <v>Manufacturing</v>
          </cell>
          <cell r="H196" t="str">
            <v>NA</v>
          </cell>
        </row>
        <row r="197">
          <cell r="A197" t="str">
            <v>2284</v>
          </cell>
          <cell r="B197" t="str">
            <v>Manufacturing</v>
          </cell>
          <cell r="C197" t="str">
            <v>NA</v>
          </cell>
          <cell r="F197" t="str">
            <v>2284</v>
          </cell>
          <cell r="G197" t="str">
            <v>Manufacturing</v>
          </cell>
          <cell r="H197" t="str">
            <v>NA</v>
          </cell>
        </row>
        <row r="198">
          <cell r="A198" t="str">
            <v>2295</v>
          </cell>
          <cell r="B198" t="str">
            <v>Manufacturing</v>
          </cell>
          <cell r="C198" t="str">
            <v>NA</v>
          </cell>
          <cell r="F198" t="str">
            <v>2295</v>
          </cell>
          <cell r="G198" t="str">
            <v>Manufacturing</v>
          </cell>
          <cell r="H198" t="str">
            <v>NA</v>
          </cell>
        </row>
        <row r="199">
          <cell r="A199" t="str">
            <v>2296</v>
          </cell>
          <cell r="B199" t="str">
            <v>Manufacturing</v>
          </cell>
          <cell r="C199" t="str">
            <v>NA</v>
          </cell>
          <cell r="F199" t="str">
            <v>2296</v>
          </cell>
          <cell r="G199" t="str">
            <v>Manufacturing</v>
          </cell>
          <cell r="H199" t="str">
            <v>NA</v>
          </cell>
        </row>
        <row r="200">
          <cell r="A200" t="str">
            <v>2297</v>
          </cell>
          <cell r="B200" t="str">
            <v>Manufacturing</v>
          </cell>
          <cell r="C200" t="str">
            <v>NA</v>
          </cell>
          <cell r="F200" t="str">
            <v>2297</v>
          </cell>
          <cell r="G200" t="str">
            <v>Manufacturing</v>
          </cell>
          <cell r="H200" t="str">
            <v>NA</v>
          </cell>
        </row>
        <row r="201">
          <cell r="A201" t="str">
            <v>2298</v>
          </cell>
          <cell r="B201" t="str">
            <v>Manufacturing</v>
          </cell>
          <cell r="C201" t="str">
            <v>NA</v>
          </cell>
          <cell r="F201" t="str">
            <v>2298</v>
          </cell>
          <cell r="G201" t="str">
            <v>Manufacturing</v>
          </cell>
          <cell r="H201" t="str">
            <v>NA</v>
          </cell>
        </row>
        <row r="202">
          <cell r="A202" t="str">
            <v>2299</v>
          </cell>
          <cell r="B202" t="str">
            <v>Manufacturing</v>
          </cell>
          <cell r="C202" t="str">
            <v>NA</v>
          </cell>
          <cell r="F202" t="str">
            <v>2299</v>
          </cell>
          <cell r="G202" t="str">
            <v>Manufacturing</v>
          </cell>
          <cell r="H202" t="str">
            <v>NA</v>
          </cell>
        </row>
        <row r="203">
          <cell r="A203" t="str">
            <v>2311</v>
          </cell>
          <cell r="B203" t="str">
            <v>Manufacturing</v>
          </cell>
          <cell r="C203" t="str">
            <v>NA</v>
          </cell>
          <cell r="F203" t="str">
            <v>2311</v>
          </cell>
          <cell r="G203" t="str">
            <v>Manufacturing</v>
          </cell>
          <cell r="H203" t="str">
            <v>NA</v>
          </cell>
        </row>
        <row r="204">
          <cell r="A204" t="str">
            <v>2321</v>
          </cell>
          <cell r="B204" t="str">
            <v>Manufacturing</v>
          </cell>
          <cell r="C204" t="str">
            <v>NA</v>
          </cell>
          <cell r="F204" t="str">
            <v>2321</v>
          </cell>
          <cell r="G204" t="str">
            <v>Manufacturing</v>
          </cell>
          <cell r="H204" t="str">
            <v>NA</v>
          </cell>
        </row>
        <row r="205">
          <cell r="A205" t="str">
            <v>2322</v>
          </cell>
          <cell r="B205" t="str">
            <v>Manufacturing</v>
          </cell>
          <cell r="C205" t="str">
            <v>NA</v>
          </cell>
          <cell r="F205" t="str">
            <v>2322</v>
          </cell>
          <cell r="G205" t="str">
            <v>Manufacturing</v>
          </cell>
          <cell r="H205" t="str">
            <v>NA</v>
          </cell>
        </row>
        <row r="206">
          <cell r="A206" t="str">
            <v>2323</v>
          </cell>
          <cell r="B206" t="str">
            <v>Manufacturing</v>
          </cell>
          <cell r="C206" t="str">
            <v>NA</v>
          </cell>
          <cell r="F206" t="str">
            <v>2323</v>
          </cell>
          <cell r="G206" t="str">
            <v>Manufacturing</v>
          </cell>
          <cell r="H206" t="str">
            <v>NA</v>
          </cell>
        </row>
        <row r="207">
          <cell r="A207" t="str">
            <v>2325</v>
          </cell>
          <cell r="B207" t="str">
            <v>Manufacturing</v>
          </cell>
          <cell r="C207" t="str">
            <v>NA</v>
          </cell>
          <cell r="F207" t="str">
            <v>2325</v>
          </cell>
          <cell r="G207" t="str">
            <v>Manufacturing</v>
          </cell>
          <cell r="H207" t="str">
            <v>NA</v>
          </cell>
        </row>
        <row r="208">
          <cell r="A208" t="str">
            <v>2326</v>
          </cell>
          <cell r="B208" t="str">
            <v>Manufacturing</v>
          </cell>
          <cell r="C208" t="str">
            <v>NA</v>
          </cell>
          <cell r="F208" t="str">
            <v>2326</v>
          </cell>
          <cell r="G208" t="str">
            <v>Manufacturing</v>
          </cell>
          <cell r="H208" t="str">
            <v>NA</v>
          </cell>
        </row>
        <row r="209">
          <cell r="A209" t="str">
            <v>2329</v>
          </cell>
          <cell r="B209" t="str">
            <v>Manufacturing</v>
          </cell>
          <cell r="C209" t="str">
            <v>NA</v>
          </cell>
          <cell r="F209" t="str">
            <v>2329</v>
          </cell>
          <cell r="G209" t="str">
            <v>Manufacturing</v>
          </cell>
          <cell r="H209" t="str">
            <v>NA</v>
          </cell>
        </row>
        <row r="210">
          <cell r="A210" t="str">
            <v>2331</v>
          </cell>
          <cell r="B210" t="str">
            <v>Manufacturing</v>
          </cell>
          <cell r="C210" t="str">
            <v>NA</v>
          </cell>
          <cell r="F210" t="str">
            <v>2331</v>
          </cell>
          <cell r="G210" t="str">
            <v>Manufacturing</v>
          </cell>
          <cell r="H210" t="str">
            <v>NA</v>
          </cell>
        </row>
        <row r="211">
          <cell r="A211" t="str">
            <v>2335</v>
          </cell>
          <cell r="B211" t="str">
            <v>Manufacturing</v>
          </cell>
          <cell r="C211" t="str">
            <v>NA</v>
          </cell>
          <cell r="F211" t="str">
            <v>2335</v>
          </cell>
          <cell r="G211" t="str">
            <v>Manufacturing</v>
          </cell>
          <cell r="H211" t="str">
            <v>NA</v>
          </cell>
        </row>
        <row r="212">
          <cell r="A212" t="str">
            <v>2337</v>
          </cell>
          <cell r="B212" t="str">
            <v>Manufacturing</v>
          </cell>
          <cell r="C212" t="str">
            <v>NA</v>
          </cell>
          <cell r="F212" t="str">
            <v>2337</v>
          </cell>
          <cell r="G212" t="str">
            <v>Manufacturing</v>
          </cell>
          <cell r="H212" t="str">
            <v>NA</v>
          </cell>
        </row>
        <row r="213">
          <cell r="A213" t="str">
            <v>2339</v>
          </cell>
          <cell r="B213" t="str">
            <v>Manufacturing</v>
          </cell>
          <cell r="C213" t="str">
            <v>NA</v>
          </cell>
          <cell r="F213" t="str">
            <v>2339</v>
          </cell>
          <cell r="G213" t="str">
            <v>Manufacturing</v>
          </cell>
          <cell r="H213" t="str">
            <v>NA</v>
          </cell>
        </row>
        <row r="214">
          <cell r="A214" t="str">
            <v>2341</v>
          </cell>
          <cell r="B214" t="str">
            <v>Manufacturing</v>
          </cell>
          <cell r="C214" t="str">
            <v>NA</v>
          </cell>
          <cell r="F214" t="str">
            <v>2341</v>
          </cell>
          <cell r="G214" t="str">
            <v>Manufacturing</v>
          </cell>
          <cell r="H214" t="str">
            <v>NA</v>
          </cell>
        </row>
        <row r="215">
          <cell r="A215" t="str">
            <v>2342</v>
          </cell>
          <cell r="B215" t="str">
            <v>Manufacturing</v>
          </cell>
          <cell r="C215" t="str">
            <v>NA</v>
          </cell>
          <cell r="F215" t="str">
            <v>2342</v>
          </cell>
          <cell r="G215" t="str">
            <v>Manufacturing</v>
          </cell>
          <cell r="H215" t="str">
            <v>NA</v>
          </cell>
        </row>
        <row r="216">
          <cell r="A216" t="str">
            <v>2352</v>
          </cell>
          <cell r="B216" t="str">
            <v>Manufacturing</v>
          </cell>
          <cell r="C216" t="str">
            <v>NA</v>
          </cell>
          <cell r="F216" t="str">
            <v>2352</v>
          </cell>
          <cell r="G216" t="str">
            <v>Manufacturing</v>
          </cell>
          <cell r="H216" t="str">
            <v>NA</v>
          </cell>
        </row>
        <row r="217">
          <cell r="A217" t="str">
            <v>2361</v>
          </cell>
          <cell r="B217" t="str">
            <v>Manufacturing</v>
          </cell>
          <cell r="C217" t="str">
            <v>NA</v>
          </cell>
          <cell r="F217" t="str">
            <v>2361</v>
          </cell>
          <cell r="G217" t="str">
            <v>Manufacturing</v>
          </cell>
          <cell r="H217" t="str">
            <v>NA</v>
          </cell>
        </row>
        <row r="218">
          <cell r="A218" t="str">
            <v>2369</v>
          </cell>
          <cell r="B218" t="str">
            <v>Manufacturing</v>
          </cell>
          <cell r="C218" t="str">
            <v>NA</v>
          </cell>
          <cell r="F218" t="str">
            <v>2369</v>
          </cell>
          <cell r="G218" t="str">
            <v>Manufacturing</v>
          </cell>
          <cell r="H218" t="str">
            <v>NA</v>
          </cell>
        </row>
        <row r="219">
          <cell r="A219" t="str">
            <v>2371</v>
          </cell>
          <cell r="B219" t="str">
            <v>Manufacturing</v>
          </cell>
          <cell r="C219" t="str">
            <v>NA</v>
          </cell>
          <cell r="F219" t="str">
            <v>2371</v>
          </cell>
          <cell r="G219" t="str">
            <v>Manufacturing</v>
          </cell>
          <cell r="H219" t="str">
            <v>NA</v>
          </cell>
        </row>
        <row r="220">
          <cell r="A220" t="str">
            <v>2381</v>
          </cell>
          <cell r="B220" t="str">
            <v>Manufacturing</v>
          </cell>
          <cell r="C220" t="str">
            <v>NA</v>
          </cell>
          <cell r="F220" t="str">
            <v>2381</v>
          </cell>
          <cell r="G220" t="str">
            <v>Manufacturing</v>
          </cell>
          <cell r="H220" t="str">
            <v>NA</v>
          </cell>
        </row>
        <row r="221">
          <cell r="A221" t="str">
            <v>2384</v>
          </cell>
          <cell r="B221" t="str">
            <v>Manufacturing</v>
          </cell>
          <cell r="C221" t="str">
            <v>NA</v>
          </cell>
          <cell r="F221" t="str">
            <v>2384</v>
          </cell>
          <cell r="G221" t="str">
            <v>Manufacturing</v>
          </cell>
          <cell r="H221" t="str">
            <v>NA</v>
          </cell>
        </row>
        <row r="222">
          <cell r="A222" t="str">
            <v>2385</v>
          </cell>
          <cell r="B222" t="str">
            <v>Manufacturing</v>
          </cell>
          <cell r="C222" t="str">
            <v>NA</v>
          </cell>
          <cell r="F222" t="str">
            <v>2385</v>
          </cell>
          <cell r="G222" t="str">
            <v>Manufacturing</v>
          </cell>
          <cell r="H222" t="str">
            <v>NA</v>
          </cell>
        </row>
        <row r="223">
          <cell r="A223" t="str">
            <v>2386</v>
          </cell>
          <cell r="B223" t="str">
            <v>Manufacturing</v>
          </cell>
          <cell r="C223" t="str">
            <v>NA</v>
          </cell>
          <cell r="F223" t="str">
            <v>2386</v>
          </cell>
          <cell r="G223" t="str">
            <v>Manufacturing</v>
          </cell>
          <cell r="H223" t="str">
            <v>NA</v>
          </cell>
        </row>
        <row r="224">
          <cell r="A224" t="str">
            <v>2387</v>
          </cell>
          <cell r="B224" t="str">
            <v>Manufacturing</v>
          </cell>
          <cell r="C224" t="str">
            <v>NA</v>
          </cell>
          <cell r="F224" t="str">
            <v>2387</v>
          </cell>
          <cell r="G224" t="str">
            <v>Manufacturing</v>
          </cell>
          <cell r="H224" t="str">
            <v>NA</v>
          </cell>
        </row>
        <row r="225">
          <cell r="A225" t="str">
            <v>2389</v>
          </cell>
          <cell r="B225" t="str">
            <v>Manufacturing</v>
          </cell>
          <cell r="C225" t="str">
            <v>NA</v>
          </cell>
          <cell r="F225" t="str">
            <v>2389</v>
          </cell>
          <cell r="G225" t="str">
            <v>Manufacturing</v>
          </cell>
          <cell r="H225" t="str">
            <v>NA</v>
          </cell>
        </row>
        <row r="226">
          <cell r="A226" t="str">
            <v>2391</v>
          </cell>
          <cell r="B226" t="str">
            <v>Manufacturing</v>
          </cell>
          <cell r="C226" t="str">
            <v>NA</v>
          </cell>
          <cell r="F226" t="str">
            <v>2391</v>
          </cell>
          <cell r="G226" t="str">
            <v>Manufacturing</v>
          </cell>
          <cell r="H226" t="str">
            <v>NA</v>
          </cell>
        </row>
        <row r="227">
          <cell r="A227" t="str">
            <v>2392</v>
          </cell>
          <cell r="B227" t="str">
            <v>Manufacturing</v>
          </cell>
          <cell r="C227" t="str">
            <v>NA</v>
          </cell>
          <cell r="F227" t="str">
            <v>2392</v>
          </cell>
          <cell r="G227" t="str">
            <v>Manufacturing</v>
          </cell>
          <cell r="H227" t="str">
            <v>NA</v>
          </cell>
        </row>
        <row r="228">
          <cell r="A228" t="str">
            <v>2393</v>
          </cell>
          <cell r="B228" t="str">
            <v>Manufacturing</v>
          </cell>
          <cell r="C228" t="str">
            <v>NA</v>
          </cell>
          <cell r="F228" t="str">
            <v>2393</v>
          </cell>
          <cell r="G228" t="str">
            <v>Manufacturing</v>
          </cell>
          <cell r="H228" t="str">
            <v>NA</v>
          </cell>
        </row>
        <row r="229">
          <cell r="A229" t="str">
            <v>2394</v>
          </cell>
          <cell r="B229" t="str">
            <v>Manufacturing</v>
          </cell>
          <cell r="C229" t="str">
            <v>NA</v>
          </cell>
          <cell r="F229" t="str">
            <v>2394</v>
          </cell>
          <cell r="G229" t="str">
            <v>Manufacturing</v>
          </cell>
          <cell r="H229" t="str">
            <v>NA</v>
          </cell>
        </row>
        <row r="230">
          <cell r="A230" t="str">
            <v>2395</v>
          </cell>
          <cell r="B230" t="str">
            <v>Manufacturing</v>
          </cell>
          <cell r="C230" t="str">
            <v>NA</v>
          </cell>
          <cell r="F230" t="str">
            <v>2395</v>
          </cell>
          <cell r="G230" t="str">
            <v>Manufacturing</v>
          </cell>
          <cell r="H230" t="str">
            <v>NA</v>
          </cell>
        </row>
        <row r="231">
          <cell r="A231" t="str">
            <v>2396</v>
          </cell>
          <cell r="B231" t="str">
            <v>Manufacturing</v>
          </cell>
          <cell r="C231" t="str">
            <v>NA</v>
          </cell>
          <cell r="F231" t="str">
            <v>2396</v>
          </cell>
          <cell r="G231" t="str">
            <v>Manufacturing</v>
          </cell>
          <cell r="H231" t="str">
            <v>NA</v>
          </cell>
        </row>
        <row r="232">
          <cell r="A232" t="str">
            <v>2397</v>
          </cell>
          <cell r="B232" t="str">
            <v>Manufacturing</v>
          </cell>
          <cell r="C232" t="str">
            <v>NA</v>
          </cell>
          <cell r="F232" t="str">
            <v>2397</v>
          </cell>
          <cell r="G232" t="str">
            <v>Manufacturing</v>
          </cell>
          <cell r="H232" t="str">
            <v>NA</v>
          </cell>
        </row>
        <row r="233">
          <cell r="A233" t="str">
            <v>2399</v>
          </cell>
          <cell r="B233" t="str">
            <v>Manufacturing</v>
          </cell>
          <cell r="C233" t="str">
            <v>NA</v>
          </cell>
          <cell r="F233" t="str">
            <v>2399</v>
          </cell>
          <cell r="G233" t="str">
            <v>Manufacturing</v>
          </cell>
          <cell r="H233" t="str">
            <v>NA</v>
          </cell>
        </row>
        <row r="234">
          <cell r="A234" t="str">
            <v>2411</v>
          </cell>
          <cell r="B234" t="str">
            <v>Manufacturing</v>
          </cell>
          <cell r="C234" t="str">
            <v>NA</v>
          </cell>
          <cell r="F234" t="str">
            <v>2411</v>
          </cell>
          <cell r="G234" t="str">
            <v>Manufacturing</v>
          </cell>
          <cell r="H234" t="str">
            <v>NA</v>
          </cell>
        </row>
        <row r="235">
          <cell r="A235" t="str">
            <v>2421</v>
          </cell>
          <cell r="B235" t="str">
            <v>Manufacturing</v>
          </cell>
          <cell r="C235" t="str">
            <v>NA</v>
          </cell>
          <cell r="F235" t="str">
            <v>2421</v>
          </cell>
          <cell r="G235" t="str">
            <v>Manufacturing</v>
          </cell>
          <cell r="H235" t="str">
            <v>NA</v>
          </cell>
        </row>
        <row r="236">
          <cell r="A236" t="str">
            <v>2426</v>
          </cell>
          <cell r="B236" t="str">
            <v>Manufacturing</v>
          </cell>
          <cell r="C236" t="str">
            <v>NA</v>
          </cell>
          <cell r="F236" t="str">
            <v>2426</v>
          </cell>
          <cell r="G236" t="str">
            <v>Manufacturing</v>
          </cell>
          <cell r="H236" t="str">
            <v>NA</v>
          </cell>
        </row>
        <row r="237">
          <cell r="A237" t="str">
            <v>2429</v>
          </cell>
          <cell r="B237" t="str">
            <v>Manufacturing</v>
          </cell>
          <cell r="C237" t="str">
            <v>NA</v>
          </cell>
          <cell r="F237" t="str">
            <v>2429</v>
          </cell>
          <cell r="G237" t="str">
            <v>Manufacturing</v>
          </cell>
          <cell r="H237" t="str">
            <v>NA</v>
          </cell>
        </row>
        <row r="238">
          <cell r="A238" t="str">
            <v>2431</v>
          </cell>
          <cell r="B238" t="str">
            <v>Manufacturing</v>
          </cell>
          <cell r="C238" t="str">
            <v>NA</v>
          </cell>
          <cell r="F238" t="str">
            <v>2431</v>
          </cell>
          <cell r="G238" t="str">
            <v>Manufacturing</v>
          </cell>
          <cell r="H238" t="str">
            <v>NA</v>
          </cell>
        </row>
        <row r="239">
          <cell r="A239" t="str">
            <v>2434</v>
          </cell>
          <cell r="B239" t="str">
            <v>Manufacturing</v>
          </cell>
          <cell r="C239" t="str">
            <v>NA</v>
          </cell>
          <cell r="F239" t="str">
            <v>2434</v>
          </cell>
          <cell r="G239" t="str">
            <v>Manufacturing</v>
          </cell>
          <cell r="H239" t="str">
            <v>NA</v>
          </cell>
        </row>
        <row r="240">
          <cell r="A240" t="str">
            <v>2435</v>
          </cell>
          <cell r="B240" t="str">
            <v>Manufacturing</v>
          </cell>
          <cell r="C240" t="str">
            <v>NA</v>
          </cell>
          <cell r="F240" t="str">
            <v>2435</v>
          </cell>
          <cell r="G240" t="str">
            <v>Manufacturing</v>
          </cell>
          <cell r="H240" t="str">
            <v>NA</v>
          </cell>
        </row>
        <row r="241">
          <cell r="A241" t="str">
            <v>2436</v>
          </cell>
          <cell r="B241" t="str">
            <v>Manufacturing</v>
          </cell>
          <cell r="C241" t="str">
            <v>NA</v>
          </cell>
          <cell r="F241" t="str">
            <v>2436</v>
          </cell>
          <cell r="G241" t="str">
            <v>Manufacturing</v>
          </cell>
          <cell r="H241" t="str">
            <v>NA</v>
          </cell>
        </row>
        <row r="242">
          <cell r="A242" t="str">
            <v>2439</v>
          </cell>
          <cell r="B242" t="str">
            <v>Manufacturing</v>
          </cell>
          <cell r="C242" t="str">
            <v>NA</v>
          </cell>
          <cell r="F242" t="str">
            <v>2439</v>
          </cell>
          <cell r="G242" t="str">
            <v>Manufacturing</v>
          </cell>
          <cell r="H242" t="str">
            <v>NA</v>
          </cell>
        </row>
        <row r="243">
          <cell r="A243" t="str">
            <v>2441</v>
          </cell>
          <cell r="B243" t="str">
            <v>Manufacturing</v>
          </cell>
          <cell r="C243" t="str">
            <v>NA</v>
          </cell>
          <cell r="F243" t="str">
            <v>2441</v>
          </cell>
          <cell r="G243" t="str">
            <v>Manufacturing</v>
          </cell>
          <cell r="H243" t="str">
            <v>NA</v>
          </cell>
        </row>
        <row r="244">
          <cell r="A244" t="str">
            <v>2448</v>
          </cell>
          <cell r="B244" t="str">
            <v>Manufacturing</v>
          </cell>
          <cell r="C244" t="str">
            <v>NA</v>
          </cell>
          <cell r="F244" t="str">
            <v>2448</v>
          </cell>
          <cell r="G244" t="str">
            <v>Manufacturing</v>
          </cell>
          <cell r="H244" t="str">
            <v>NA</v>
          </cell>
        </row>
        <row r="245">
          <cell r="A245" t="str">
            <v>2449</v>
          </cell>
          <cell r="B245" t="str">
            <v>Manufacturing</v>
          </cell>
          <cell r="C245" t="str">
            <v>NA</v>
          </cell>
          <cell r="F245" t="str">
            <v>2449</v>
          </cell>
          <cell r="G245" t="str">
            <v>Manufacturing</v>
          </cell>
          <cell r="H245" t="str">
            <v>NA</v>
          </cell>
        </row>
        <row r="246">
          <cell r="A246" t="str">
            <v>2451</v>
          </cell>
          <cell r="B246" t="str">
            <v>Manufacturing</v>
          </cell>
          <cell r="C246" t="str">
            <v>NA</v>
          </cell>
          <cell r="F246" t="str">
            <v>2451</v>
          </cell>
          <cell r="G246" t="str">
            <v>Manufacturing</v>
          </cell>
          <cell r="H246" t="str">
            <v>NA</v>
          </cell>
        </row>
        <row r="247">
          <cell r="A247" t="str">
            <v>2452</v>
          </cell>
          <cell r="B247" t="str">
            <v>Manufacturing</v>
          </cell>
          <cell r="C247" t="str">
            <v>NA</v>
          </cell>
          <cell r="F247" t="str">
            <v>2452</v>
          </cell>
          <cell r="G247" t="str">
            <v>Manufacturing</v>
          </cell>
          <cell r="H247" t="str">
            <v>NA</v>
          </cell>
        </row>
        <row r="248">
          <cell r="A248" t="str">
            <v>2491</v>
          </cell>
          <cell r="B248" t="str">
            <v>Manufacturing</v>
          </cell>
          <cell r="C248" t="str">
            <v>NA</v>
          </cell>
          <cell r="F248" t="str">
            <v>2491</v>
          </cell>
          <cell r="G248" t="str">
            <v>Manufacturing</v>
          </cell>
          <cell r="H248" t="str">
            <v>NA</v>
          </cell>
        </row>
        <row r="249">
          <cell r="A249" t="str">
            <v>2493</v>
          </cell>
          <cell r="B249" t="str">
            <v>Manufacturing</v>
          </cell>
          <cell r="C249" t="str">
            <v>NA</v>
          </cell>
          <cell r="F249" t="str">
            <v>2493</v>
          </cell>
          <cell r="G249" t="str">
            <v>Manufacturing</v>
          </cell>
          <cell r="H249" t="str">
            <v>NA</v>
          </cell>
        </row>
        <row r="250">
          <cell r="A250" t="str">
            <v>2499</v>
          </cell>
          <cell r="B250" t="str">
            <v>Manufacturing</v>
          </cell>
          <cell r="C250" t="str">
            <v>NA</v>
          </cell>
          <cell r="F250" t="str">
            <v>2499</v>
          </cell>
          <cell r="G250" t="str">
            <v>Manufacturing</v>
          </cell>
          <cell r="H250" t="str">
            <v>NA</v>
          </cell>
        </row>
        <row r="251">
          <cell r="A251" t="str">
            <v>2511</v>
          </cell>
          <cell r="B251" t="str">
            <v>Manufacturing</v>
          </cell>
          <cell r="C251" t="str">
            <v>NA</v>
          </cell>
          <cell r="F251" t="str">
            <v>2511</v>
          </cell>
          <cell r="G251" t="str">
            <v>Manufacturing</v>
          </cell>
          <cell r="H251" t="str">
            <v>NA</v>
          </cell>
        </row>
        <row r="252">
          <cell r="A252" t="str">
            <v>2512</v>
          </cell>
          <cell r="B252" t="str">
            <v>Manufacturing</v>
          </cell>
          <cell r="C252" t="str">
            <v>NA</v>
          </cell>
          <cell r="F252" t="str">
            <v>2512</v>
          </cell>
          <cell r="G252" t="str">
            <v>Manufacturing</v>
          </cell>
          <cell r="H252" t="str">
            <v>NA</v>
          </cell>
        </row>
        <row r="253">
          <cell r="A253" t="str">
            <v>2514</v>
          </cell>
          <cell r="B253" t="str">
            <v>Manufacturing</v>
          </cell>
          <cell r="C253" t="str">
            <v>NA</v>
          </cell>
          <cell r="F253" t="str">
            <v>2514</v>
          </cell>
          <cell r="G253" t="str">
            <v>Manufacturing</v>
          </cell>
          <cell r="H253" t="str">
            <v>NA</v>
          </cell>
        </row>
        <row r="254">
          <cell r="A254" t="str">
            <v>2515</v>
          </cell>
          <cell r="B254" t="str">
            <v>Manufacturing</v>
          </cell>
          <cell r="C254" t="str">
            <v>NA</v>
          </cell>
          <cell r="F254" t="str">
            <v>2515</v>
          </cell>
          <cell r="G254" t="str">
            <v>Manufacturing</v>
          </cell>
          <cell r="H254" t="str">
            <v>NA</v>
          </cell>
        </row>
        <row r="255">
          <cell r="A255" t="str">
            <v>2517</v>
          </cell>
          <cell r="B255" t="str">
            <v>Manufacturing</v>
          </cell>
          <cell r="C255" t="str">
            <v>NA</v>
          </cell>
          <cell r="F255" t="str">
            <v>2517</v>
          </cell>
          <cell r="G255" t="str">
            <v>Manufacturing</v>
          </cell>
          <cell r="H255" t="str">
            <v>NA</v>
          </cell>
        </row>
        <row r="256">
          <cell r="A256" t="str">
            <v>2519</v>
          </cell>
          <cell r="B256" t="str">
            <v>Manufacturing</v>
          </cell>
          <cell r="C256" t="str">
            <v>NA</v>
          </cell>
          <cell r="F256" t="str">
            <v>2519</v>
          </cell>
          <cell r="G256" t="str">
            <v>Manufacturing</v>
          </cell>
          <cell r="H256" t="str">
            <v>NA</v>
          </cell>
        </row>
        <row r="257">
          <cell r="A257" t="str">
            <v>2521</v>
          </cell>
          <cell r="B257" t="str">
            <v>Manufacturing</v>
          </cell>
          <cell r="C257" t="str">
            <v>NA</v>
          </cell>
          <cell r="F257" t="str">
            <v>2521</v>
          </cell>
          <cell r="G257" t="str">
            <v>Manufacturing</v>
          </cell>
          <cell r="H257" t="str">
            <v>NA</v>
          </cell>
        </row>
        <row r="258">
          <cell r="A258" t="str">
            <v>2522</v>
          </cell>
          <cell r="B258" t="str">
            <v>Manufacturing</v>
          </cell>
          <cell r="C258" t="str">
            <v>NA</v>
          </cell>
          <cell r="F258" t="str">
            <v>2522</v>
          </cell>
          <cell r="G258" t="str">
            <v>Manufacturing</v>
          </cell>
          <cell r="H258" t="str">
            <v>NA</v>
          </cell>
        </row>
        <row r="259">
          <cell r="A259" t="str">
            <v>2531</v>
          </cell>
          <cell r="B259" t="str">
            <v>Manufacturing</v>
          </cell>
          <cell r="C259" t="str">
            <v>NA</v>
          </cell>
          <cell r="F259" t="str">
            <v>2531</v>
          </cell>
          <cell r="G259" t="str">
            <v>Manufacturing</v>
          </cell>
          <cell r="H259" t="str">
            <v>NA</v>
          </cell>
        </row>
        <row r="260">
          <cell r="A260" t="str">
            <v>2541</v>
          </cell>
          <cell r="B260" t="str">
            <v>Manufacturing</v>
          </cell>
          <cell r="C260" t="str">
            <v>NA</v>
          </cell>
          <cell r="F260" t="str">
            <v>2541</v>
          </cell>
          <cell r="G260" t="str">
            <v>Manufacturing</v>
          </cell>
          <cell r="H260" t="str">
            <v>NA</v>
          </cell>
        </row>
        <row r="261">
          <cell r="A261" t="str">
            <v>2542</v>
          </cell>
          <cell r="B261" t="str">
            <v>Manufacturing</v>
          </cell>
          <cell r="C261" t="str">
            <v>NA</v>
          </cell>
          <cell r="F261" t="str">
            <v>2542</v>
          </cell>
          <cell r="G261" t="str">
            <v>Manufacturing</v>
          </cell>
          <cell r="H261" t="str">
            <v>NA</v>
          </cell>
        </row>
        <row r="262">
          <cell r="A262" t="str">
            <v>2591</v>
          </cell>
          <cell r="B262" t="str">
            <v>Manufacturing</v>
          </cell>
          <cell r="C262" t="str">
            <v>NA</v>
          </cell>
          <cell r="F262" t="str">
            <v>2591</v>
          </cell>
          <cell r="G262" t="str">
            <v>Manufacturing</v>
          </cell>
          <cell r="H262" t="str">
            <v>NA</v>
          </cell>
        </row>
        <row r="263">
          <cell r="A263" t="str">
            <v>2599</v>
          </cell>
          <cell r="B263" t="str">
            <v>Manufacturing</v>
          </cell>
          <cell r="C263" t="str">
            <v>NA</v>
          </cell>
          <cell r="F263" t="str">
            <v>2599</v>
          </cell>
          <cell r="G263" t="str">
            <v>Manufacturing</v>
          </cell>
          <cell r="H263" t="str">
            <v>NA</v>
          </cell>
        </row>
        <row r="264">
          <cell r="A264" t="str">
            <v>2611</v>
          </cell>
          <cell r="B264" t="str">
            <v>Manufacturing</v>
          </cell>
          <cell r="C264" t="str">
            <v>NA</v>
          </cell>
          <cell r="F264" t="str">
            <v>2611</v>
          </cell>
          <cell r="G264" t="str">
            <v>Manufacturing</v>
          </cell>
          <cell r="H264" t="str">
            <v>NA</v>
          </cell>
        </row>
        <row r="265">
          <cell r="A265" t="str">
            <v>2621</v>
          </cell>
          <cell r="B265" t="str">
            <v>Manufacturing</v>
          </cell>
          <cell r="C265" t="str">
            <v>NA</v>
          </cell>
          <cell r="F265" t="str">
            <v>2621</v>
          </cell>
          <cell r="G265" t="str">
            <v>Manufacturing</v>
          </cell>
          <cell r="H265" t="str">
            <v>NA</v>
          </cell>
        </row>
        <row r="266">
          <cell r="A266" t="str">
            <v>2631</v>
          </cell>
          <cell r="B266" t="str">
            <v>Manufacturing</v>
          </cell>
          <cell r="C266" t="str">
            <v>NA</v>
          </cell>
          <cell r="F266" t="str">
            <v>2631</v>
          </cell>
          <cell r="G266" t="str">
            <v>Manufacturing</v>
          </cell>
          <cell r="H266" t="str">
            <v>NA</v>
          </cell>
        </row>
        <row r="267">
          <cell r="A267" t="str">
            <v>2652</v>
          </cell>
          <cell r="B267" t="str">
            <v>Manufacturing</v>
          </cell>
          <cell r="C267" t="str">
            <v>NA</v>
          </cell>
          <cell r="F267" t="str">
            <v>2652</v>
          </cell>
          <cell r="G267" t="str">
            <v>Manufacturing</v>
          </cell>
          <cell r="H267" t="str">
            <v>NA</v>
          </cell>
        </row>
        <row r="268">
          <cell r="A268" t="str">
            <v>2653</v>
          </cell>
          <cell r="B268" t="str">
            <v>Manufacturing</v>
          </cell>
          <cell r="C268" t="str">
            <v>NA</v>
          </cell>
          <cell r="F268" t="str">
            <v>2653</v>
          </cell>
          <cell r="G268" t="str">
            <v>Manufacturing</v>
          </cell>
          <cell r="H268" t="str">
            <v>NA</v>
          </cell>
        </row>
        <row r="269">
          <cell r="A269" t="str">
            <v>2655</v>
          </cell>
          <cell r="B269" t="str">
            <v>Manufacturing</v>
          </cell>
          <cell r="C269" t="str">
            <v>NA</v>
          </cell>
          <cell r="F269" t="str">
            <v>2655</v>
          </cell>
          <cell r="G269" t="str">
            <v>Manufacturing</v>
          </cell>
          <cell r="H269" t="str">
            <v>NA</v>
          </cell>
        </row>
        <row r="270">
          <cell r="A270" t="str">
            <v>2656</v>
          </cell>
          <cell r="B270" t="str">
            <v>Manufacturing</v>
          </cell>
          <cell r="C270" t="str">
            <v>NA</v>
          </cell>
          <cell r="F270" t="str">
            <v>2656</v>
          </cell>
          <cell r="G270" t="str">
            <v>Manufacturing</v>
          </cell>
          <cell r="H270" t="str">
            <v>NA</v>
          </cell>
        </row>
        <row r="271">
          <cell r="A271" t="str">
            <v>2657</v>
          </cell>
          <cell r="B271" t="str">
            <v>Manufacturing</v>
          </cell>
          <cell r="C271" t="str">
            <v>NA</v>
          </cell>
          <cell r="F271" t="str">
            <v>2657</v>
          </cell>
          <cell r="G271" t="str">
            <v>Manufacturing</v>
          </cell>
          <cell r="H271" t="str">
            <v>NA</v>
          </cell>
        </row>
        <row r="272">
          <cell r="A272" t="str">
            <v>2671</v>
          </cell>
          <cell r="B272" t="str">
            <v>Manufacturing</v>
          </cell>
          <cell r="C272" t="str">
            <v>NA</v>
          </cell>
          <cell r="F272" t="str">
            <v>2671</v>
          </cell>
          <cell r="G272" t="str">
            <v>Manufacturing</v>
          </cell>
          <cell r="H272" t="str">
            <v>NA</v>
          </cell>
        </row>
        <row r="273">
          <cell r="A273" t="str">
            <v>2672</v>
          </cell>
          <cell r="B273" t="str">
            <v>Manufacturing</v>
          </cell>
          <cell r="C273" t="str">
            <v>NA</v>
          </cell>
          <cell r="F273" t="str">
            <v>2672</v>
          </cell>
          <cell r="G273" t="str">
            <v>Manufacturing</v>
          </cell>
          <cell r="H273" t="str">
            <v>NA</v>
          </cell>
        </row>
        <row r="274">
          <cell r="A274" t="str">
            <v>2673</v>
          </cell>
          <cell r="B274" t="str">
            <v>Manufacturing</v>
          </cell>
          <cell r="C274" t="str">
            <v>NA</v>
          </cell>
          <cell r="F274" t="str">
            <v>2673</v>
          </cell>
          <cell r="G274" t="str">
            <v>Manufacturing</v>
          </cell>
          <cell r="H274" t="str">
            <v>NA</v>
          </cell>
        </row>
        <row r="275">
          <cell r="A275" t="str">
            <v>2674</v>
          </cell>
          <cell r="B275" t="str">
            <v>Manufacturing</v>
          </cell>
          <cell r="C275" t="str">
            <v>NA</v>
          </cell>
          <cell r="F275" t="str">
            <v>2674</v>
          </cell>
          <cell r="G275" t="str">
            <v>Manufacturing</v>
          </cell>
          <cell r="H275" t="str">
            <v>NA</v>
          </cell>
        </row>
        <row r="276">
          <cell r="A276" t="str">
            <v>2675</v>
          </cell>
          <cell r="B276" t="str">
            <v>Manufacturing</v>
          </cell>
          <cell r="C276" t="str">
            <v>NA</v>
          </cell>
          <cell r="F276" t="str">
            <v>2675</v>
          </cell>
          <cell r="G276" t="str">
            <v>Manufacturing</v>
          </cell>
          <cell r="H276" t="str">
            <v>NA</v>
          </cell>
        </row>
        <row r="277">
          <cell r="A277" t="str">
            <v>2676</v>
          </cell>
          <cell r="B277" t="str">
            <v>Manufacturing</v>
          </cell>
          <cell r="C277" t="str">
            <v>NA</v>
          </cell>
          <cell r="F277" t="str">
            <v>2676</v>
          </cell>
          <cell r="G277" t="str">
            <v>Manufacturing</v>
          </cell>
          <cell r="H277" t="str">
            <v>NA</v>
          </cell>
        </row>
        <row r="278">
          <cell r="A278" t="str">
            <v>2677</v>
          </cell>
          <cell r="B278" t="str">
            <v>Manufacturing</v>
          </cell>
          <cell r="C278" t="str">
            <v>NA</v>
          </cell>
          <cell r="F278" t="str">
            <v>2677</v>
          </cell>
          <cell r="G278" t="str">
            <v>Manufacturing</v>
          </cell>
          <cell r="H278" t="str">
            <v>NA</v>
          </cell>
        </row>
        <row r="279">
          <cell r="A279" t="str">
            <v>2678</v>
          </cell>
          <cell r="B279" t="str">
            <v>Manufacturing</v>
          </cell>
          <cell r="C279" t="str">
            <v>NA</v>
          </cell>
          <cell r="F279" t="str">
            <v>2678</v>
          </cell>
          <cell r="G279" t="str">
            <v>Manufacturing</v>
          </cell>
          <cell r="H279" t="str">
            <v>NA</v>
          </cell>
        </row>
        <row r="280">
          <cell r="A280" t="str">
            <v>2679</v>
          </cell>
          <cell r="B280" t="str">
            <v>Manufacturing</v>
          </cell>
          <cell r="C280" t="str">
            <v>NA</v>
          </cell>
          <cell r="F280" t="str">
            <v>2679</v>
          </cell>
          <cell r="G280" t="str">
            <v>Manufacturing</v>
          </cell>
          <cell r="H280" t="str">
            <v>NA</v>
          </cell>
        </row>
        <row r="281">
          <cell r="A281" t="str">
            <v>2711</v>
          </cell>
          <cell r="B281" t="str">
            <v>Services</v>
          </cell>
          <cell r="C281" t="str">
            <v>NA</v>
          </cell>
          <cell r="F281" t="str">
            <v>2711</v>
          </cell>
          <cell r="G281" t="str">
            <v>Services</v>
          </cell>
          <cell r="H281" t="str">
            <v>NA</v>
          </cell>
        </row>
        <row r="282">
          <cell r="A282" t="str">
            <v>2721</v>
          </cell>
          <cell r="B282" t="str">
            <v>Services</v>
          </cell>
          <cell r="C282" t="str">
            <v>NA</v>
          </cell>
          <cell r="F282" t="str">
            <v>2721</v>
          </cell>
          <cell r="G282" t="str">
            <v>Services</v>
          </cell>
          <cell r="H282" t="str">
            <v>NA</v>
          </cell>
        </row>
        <row r="283">
          <cell r="A283" t="str">
            <v>2731</v>
          </cell>
          <cell r="B283" t="str">
            <v>Services</v>
          </cell>
          <cell r="C283" t="str">
            <v>NA</v>
          </cell>
          <cell r="F283" t="str">
            <v>2731</v>
          </cell>
          <cell r="G283" t="str">
            <v>Services</v>
          </cell>
          <cell r="H283" t="str">
            <v>NA</v>
          </cell>
        </row>
        <row r="284">
          <cell r="A284" t="str">
            <v>2732</v>
          </cell>
          <cell r="B284" t="str">
            <v>Services</v>
          </cell>
          <cell r="C284" t="str">
            <v>NA</v>
          </cell>
          <cell r="F284" t="str">
            <v>2732</v>
          </cell>
          <cell r="G284" t="str">
            <v>Services</v>
          </cell>
          <cell r="H284" t="str">
            <v>NA</v>
          </cell>
        </row>
        <row r="285">
          <cell r="A285" t="str">
            <v>2741</v>
          </cell>
          <cell r="B285" t="str">
            <v>Services</v>
          </cell>
          <cell r="C285" t="str">
            <v>NA</v>
          </cell>
          <cell r="F285" t="str">
            <v>2741</v>
          </cell>
          <cell r="G285" t="str">
            <v>Services</v>
          </cell>
          <cell r="H285" t="str">
            <v>NA</v>
          </cell>
        </row>
        <row r="286">
          <cell r="A286" t="str">
            <v>2752</v>
          </cell>
          <cell r="B286" t="str">
            <v>Services</v>
          </cell>
          <cell r="C286">
            <v>6</v>
          </cell>
          <cell r="F286" t="str">
            <v>2752</v>
          </cell>
          <cell r="G286" t="str">
            <v>Services</v>
          </cell>
          <cell r="H286">
            <v>4</v>
          </cell>
        </row>
        <row r="287">
          <cell r="A287" t="str">
            <v>2753</v>
          </cell>
          <cell r="B287" t="str">
            <v>Services</v>
          </cell>
          <cell r="C287" t="str">
            <v>NA</v>
          </cell>
          <cell r="F287" t="str">
            <v>2753</v>
          </cell>
          <cell r="G287" t="str">
            <v>Services</v>
          </cell>
          <cell r="H287" t="str">
            <v>NA</v>
          </cell>
        </row>
        <row r="288">
          <cell r="A288" t="str">
            <v>2759</v>
          </cell>
          <cell r="B288" t="str">
            <v>Services</v>
          </cell>
          <cell r="C288">
            <v>6</v>
          </cell>
          <cell r="F288" t="str">
            <v>2759</v>
          </cell>
          <cell r="G288" t="str">
            <v>Services</v>
          </cell>
          <cell r="H288">
            <v>4</v>
          </cell>
        </row>
        <row r="289">
          <cell r="A289" t="str">
            <v>2761</v>
          </cell>
          <cell r="B289" t="str">
            <v>Services</v>
          </cell>
          <cell r="C289">
            <v>6</v>
          </cell>
          <cell r="F289" t="str">
            <v>2761</v>
          </cell>
          <cell r="G289" t="str">
            <v>Services</v>
          </cell>
          <cell r="H289">
            <v>4</v>
          </cell>
        </row>
        <row r="290">
          <cell r="A290" t="str">
            <v>2771</v>
          </cell>
          <cell r="B290" t="str">
            <v>Services</v>
          </cell>
          <cell r="C290">
            <v>6</v>
          </cell>
          <cell r="F290" t="str">
            <v>2771</v>
          </cell>
          <cell r="G290" t="str">
            <v>Services</v>
          </cell>
          <cell r="H290">
            <v>4</v>
          </cell>
        </row>
        <row r="291">
          <cell r="A291" t="str">
            <v>2783</v>
          </cell>
          <cell r="B291" t="str">
            <v>Services</v>
          </cell>
          <cell r="C291" t="str">
            <v>NA</v>
          </cell>
          <cell r="F291" t="str">
            <v>2783</v>
          </cell>
          <cell r="G291" t="str">
            <v>Services</v>
          </cell>
          <cell r="H291" t="str">
            <v>NA</v>
          </cell>
        </row>
        <row r="292">
          <cell r="A292" t="str">
            <v>2789</v>
          </cell>
          <cell r="B292" t="str">
            <v>Services</v>
          </cell>
          <cell r="C292" t="str">
            <v>NA</v>
          </cell>
          <cell r="F292" t="str">
            <v>2789</v>
          </cell>
          <cell r="G292" t="str">
            <v>Services</v>
          </cell>
          <cell r="H292" t="str">
            <v>NA</v>
          </cell>
        </row>
        <row r="293">
          <cell r="A293" t="str">
            <v>2791</v>
          </cell>
          <cell r="B293" t="str">
            <v>Services</v>
          </cell>
          <cell r="C293" t="str">
            <v>NA</v>
          </cell>
          <cell r="F293" t="str">
            <v>2791</v>
          </cell>
          <cell r="G293" t="str">
            <v>Services</v>
          </cell>
          <cell r="H293" t="str">
            <v>NA</v>
          </cell>
        </row>
        <row r="294">
          <cell r="A294" t="str">
            <v>2796</v>
          </cell>
          <cell r="B294" t="str">
            <v>Manufacturing</v>
          </cell>
          <cell r="C294" t="str">
            <v>NA</v>
          </cell>
          <cell r="F294" t="str">
            <v>2796</v>
          </cell>
          <cell r="G294" t="str">
            <v>Manufacturing</v>
          </cell>
          <cell r="H294" t="str">
            <v>NA</v>
          </cell>
        </row>
        <row r="295">
          <cell r="A295" t="str">
            <v>2812</v>
          </cell>
          <cell r="B295" t="str">
            <v>Manufacturing</v>
          </cell>
          <cell r="C295" t="str">
            <v>NA</v>
          </cell>
          <cell r="F295" t="str">
            <v>2812</v>
          </cell>
          <cell r="G295" t="str">
            <v>Manufacturing</v>
          </cell>
          <cell r="H295" t="str">
            <v>NA</v>
          </cell>
        </row>
        <row r="296">
          <cell r="A296" t="str">
            <v>2813</v>
          </cell>
          <cell r="B296" t="str">
            <v>Manufacturing</v>
          </cell>
          <cell r="C296" t="str">
            <v>NA</v>
          </cell>
          <cell r="F296" t="str">
            <v>2813</v>
          </cell>
          <cell r="G296" t="str">
            <v>Manufacturing</v>
          </cell>
          <cell r="H296" t="str">
            <v>NA</v>
          </cell>
        </row>
        <row r="297">
          <cell r="A297" t="str">
            <v>2816</v>
          </cell>
          <cell r="B297" t="str">
            <v>Manufacturing</v>
          </cell>
          <cell r="C297" t="str">
            <v>NA</v>
          </cell>
          <cell r="F297" t="str">
            <v>2816</v>
          </cell>
          <cell r="G297" t="str">
            <v>Manufacturing</v>
          </cell>
          <cell r="H297" t="str">
            <v>NA</v>
          </cell>
        </row>
        <row r="298">
          <cell r="A298" t="str">
            <v>2819</v>
          </cell>
          <cell r="B298" t="str">
            <v>Manufacturing</v>
          </cell>
          <cell r="C298" t="str">
            <v>NA</v>
          </cell>
          <cell r="F298" t="str">
            <v>2819</v>
          </cell>
          <cell r="G298" t="str">
            <v>Manufacturing</v>
          </cell>
          <cell r="H298" t="str">
            <v>NA</v>
          </cell>
        </row>
        <row r="299">
          <cell r="A299" t="str">
            <v>2821</v>
          </cell>
          <cell r="B299" t="str">
            <v>Manufacturing</v>
          </cell>
          <cell r="C299" t="str">
            <v>NA</v>
          </cell>
          <cell r="F299" t="str">
            <v>2821</v>
          </cell>
          <cell r="G299" t="str">
            <v>Manufacturing</v>
          </cell>
          <cell r="H299" t="str">
            <v>NA</v>
          </cell>
        </row>
        <row r="300">
          <cell r="A300" t="str">
            <v>2822</v>
          </cell>
          <cell r="B300" t="str">
            <v>Manufacturing</v>
          </cell>
          <cell r="C300" t="str">
            <v>NA</v>
          </cell>
          <cell r="F300" t="str">
            <v>2822</v>
          </cell>
          <cell r="G300" t="str">
            <v>Manufacturing</v>
          </cell>
          <cell r="H300" t="str">
            <v>NA</v>
          </cell>
        </row>
        <row r="301">
          <cell r="A301" t="str">
            <v>2823</v>
          </cell>
          <cell r="B301" t="str">
            <v>Manufacturing</v>
          </cell>
          <cell r="C301" t="str">
            <v>NA</v>
          </cell>
          <cell r="F301" t="str">
            <v>2823</v>
          </cell>
          <cell r="G301" t="str">
            <v>Manufacturing</v>
          </cell>
          <cell r="H301" t="str">
            <v>NA</v>
          </cell>
        </row>
        <row r="302">
          <cell r="A302" t="str">
            <v>2824</v>
          </cell>
          <cell r="B302" t="str">
            <v>Manufacturing</v>
          </cell>
          <cell r="C302" t="str">
            <v>NA</v>
          </cell>
          <cell r="F302" t="str">
            <v>2824</v>
          </cell>
          <cell r="G302" t="str">
            <v>Manufacturing</v>
          </cell>
          <cell r="H302" t="str">
            <v>NA</v>
          </cell>
        </row>
        <row r="303">
          <cell r="A303" t="str">
            <v>2833</v>
          </cell>
          <cell r="B303" t="str">
            <v>Manufacturing</v>
          </cell>
          <cell r="C303" t="str">
            <v>NA</v>
          </cell>
          <cell r="F303" t="str">
            <v>2833</v>
          </cell>
          <cell r="G303" t="str">
            <v>Manufacturing</v>
          </cell>
          <cell r="H303" t="str">
            <v>NA</v>
          </cell>
        </row>
        <row r="304">
          <cell r="A304" t="str">
            <v>2834</v>
          </cell>
          <cell r="B304" t="str">
            <v>Manufacturing</v>
          </cell>
          <cell r="C304" t="str">
            <v>NA</v>
          </cell>
          <cell r="F304" t="str">
            <v>2834</v>
          </cell>
          <cell r="G304" t="str">
            <v>Manufacturing</v>
          </cell>
          <cell r="H304" t="str">
            <v>NA</v>
          </cell>
        </row>
        <row r="305">
          <cell r="A305" t="str">
            <v>2835</v>
          </cell>
          <cell r="B305" t="str">
            <v>Manufacturing</v>
          </cell>
          <cell r="C305" t="str">
            <v>NA</v>
          </cell>
          <cell r="F305" t="str">
            <v>2835</v>
          </cell>
          <cell r="G305" t="str">
            <v>Manufacturing</v>
          </cell>
          <cell r="H305" t="str">
            <v>NA</v>
          </cell>
        </row>
        <row r="306">
          <cell r="A306" t="str">
            <v>2836</v>
          </cell>
          <cell r="B306" t="str">
            <v>Manufacturing</v>
          </cell>
          <cell r="C306" t="str">
            <v>NA</v>
          </cell>
          <cell r="F306" t="str">
            <v>2836</v>
          </cell>
          <cell r="G306" t="str">
            <v>Manufacturing</v>
          </cell>
          <cell r="H306" t="str">
            <v>NA</v>
          </cell>
        </row>
        <row r="307">
          <cell r="A307" t="str">
            <v>2841</v>
          </cell>
          <cell r="B307" t="str">
            <v>Manufacturing</v>
          </cell>
          <cell r="C307" t="str">
            <v>NA</v>
          </cell>
          <cell r="F307" t="str">
            <v>2841</v>
          </cell>
          <cell r="G307" t="str">
            <v>Manufacturing</v>
          </cell>
          <cell r="H307" t="str">
            <v>NA</v>
          </cell>
        </row>
        <row r="308">
          <cell r="A308" t="str">
            <v>2842</v>
          </cell>
          <cell r="B308" t="str">
            <v>Manufacturing</v>
          </cell>
          <cell r="C308" t="str">
            <v>NA</v>
          </cell>
          <cell r="F308" t="str">
            <v>2842</v>
          </cell>
          <cell r="G308" t="str">
            <v>Manufacturing</v>
          </cell>
          <cell r="H308" t="str">
            <v>NA</v>
          </cell>
        </row>
        <row r="309">
          <cell r="A309" t="str">
            <v>2843</v>
          </cell>
          <cell r="B309" t="str">
            <v>Manufacturing</v>
          </cell>
          <cell r="C309" t="str">
            <v>NA</v>
          </cell>
          <cell r="F309" t="str">
            <v>2843</v>
          </cell>
          <cell r="G309" t="str">
            <v>Manufacturing</v>
          </cell>
          <cell r="H309" t="str">
            <v>NA</v>
          </cell>
        </row>
        <row r="310">
          <cell r="A310" t="str">
            <v>2844</v>
          </cell>
          <cell r="B310" t="str">
            <v>Manufacturing</v>
          </cell>
          <cell r="C310" t="str">
            <v>NA</v>
          </cell>
          <cell r="F310" t="str">
            <v>2844</v>
          </cell>
          <cell r="G310" t="str">
            <v>Manufacturing</v>
          </cell>
          <cell r="H310" t="str">
            <v>NA</v>
          </cell>
        </row>
        <row r="311">
          <cell r="A311" t="str">
            <v>2851</v>
          </cell>
          <cell r="B311" t="str">
            <v>Manufacturing</v>
          </cell>
          <cell r="C311" t="str">
            <v>NA</v>
          </cell>
          <cell r="F311" t="str">
            <v>2851</v>
          </cell>
          <cell r="G311" t="str">
            <v>Manufacturing</v>
          </cell>
          <cell r="H311" t="str">
            <v>NA</v>
          </cell>
        </row>
        <row r="312">
          <cell r="A312" t="str">
            <v>2861</v>
          </cell>
          <cell r="B312" t="str">
            <v>Manufacturing</v>
          </cell>
          <cell r="C312" t="str">
            <v>NA</v>
          </cell>
          <cell r="F312" t="str">
            <v>2861</v>
          </cell>
          <cell r="G312" t="str">
            <v>Manufacturing</v>
          </cell>
          <cell r="H312" t="str">
            <v>NA</v>
          </cell>
        </row>
        <row r="313">
          <cell r="A313" t="str">
            <v>2865</v>
          </cell>
          <cell r="B313" t="str">
            <v>Manufacturing</v>
          </cell>
          <cell r="C313" t="str">
            <v>NA</v>
          </cell>
          <cell r="F313" t="str">
            <v>2865</v>
          </cell>
          <cell r="G313" t="str">
            <v>Manufacturing</v>
          </cell>
          <cell r="H313" t="str">
            <v>NA</v>
          </cell>
        </row>
        <row r="314">
          <cell r="A314" t="str">
            <v>2869</v>
          </cell>
          <cell r="B314" t="str">
            <v>Manufacturing</v>
          </cell>
          <cell r="C314" t="str">
            <v>NA</v>
          </cell>
          <cell r="F314" t="str">
            <v>2869</v>
          </cell>
          <cell r="G314" t="str">
            <v>Manufacturing</v>
          </cell>
          <cell r="H314" t="str">
            <v>NA</v>
          </cell>
        </row>
        <row r="315">
          <cell r="A315" t="str">
            <v>2873</v>
          </cell>
          <cell r="B315" t="str">
            <v>Manufacturing</v>
          </cell>
          <cell r="C315" t="str">
            <v>NA</v>
          </cell>
          <cell r="F315" t="str">
            <v>2873</v>
          </cell>
          <cell r="G315" t="str">
            <v>Manufacturing</v>
          </cell>
          <cell r="H315" t="str">
            <v>NA</v>
          </cell>
        </row>
        <row r="316">
          <cell r="A316" t="str">
            <v>2874</v>
          </cell>
          <cell r="B316" t="str">
            <v>Manufacturing</v>
          </cell>
          <cell r="C316" t="str">
            <v>NA</v>
          </cell>
          <cell r="F316" t="str">
            <v>2874</v>
          </cell>
          <cell r="G316" t="str">
            <v>Manufacturing</v>
          </cell>
          <cell r="H316" t="str">
            <v>NA</v>
          </cell>
        </row>
        <row r="317">
          <cell r="A317" t="str">
            <v>2875</v>
          </cell>
          <cell r="B317" t="str">
            <v>Manufacturing</v>
          </cell>
          <cell r="C317" t="str">
            <v>NA</v>
          </cell>
          <cell r="F317" t="str">
            <v>2875</v>
          </cell>
          <cell r="G317" t="str">
            <v>Manufacturing</v>
          </cell>
          <cell r="H317" t="str">
            <v>NA</v>
          </cell>
        </row>
        <row r="318">
          <cell r="A318" t="str">
            <v>2879</v>
          </cell>
          <cell r="B318" t="str">
            <v>Manufacturing</v>
          </cell>
          <cell r="C318" t="str">
            <v>NA</v>
          </cell>
          <cell r="F318" t="str">
            <v>2879</v>
          </cell>
          <cell r="G318" t="str">
            <v>Manufacturing</v>
          </cell>
          <cell r="H318" t="str">
            <v>NA</v>
          </cell>
        </row>
        <row r="319">
          <cell r="A319" t="str">
            <v>2891</v>
          </cell>
          <cell r="B319" t="str">
            <v>Manufacturing</v>
          </cell>
          <cell r="C319" t="str">
            <v>NA</v>
          </cell>
          <cell r="F319" t="str">
            <v>2891</v>
          </cell>
          <cell r="G319" t="str">
            <v>Manufacturing</v>
          </cell>
          <cell r="H319" t="str">
            <v>NA</v>
          </cell>
        </row>
        <row r="320">
          <cell r="A320" t="str">
            <v>2892</v>
          </cell>
          <cell r="B320" t="str">
            <v>Manufacturing</v>
          </cell>
          <cell r="C320" t="str">
            <v>NA</v>
          </cell>
          <cell r="F320" t="str">
            <v>2892</v>
          </cell>
          <cell r="G320" t="str">
            <v>Manufacturing</v>
          </cell>
          <cell r="H320" t="str">
            <v>NA</v>
          </cell>
        </row>
        <row r="321">
          <cell r="A321" t="str">
            <v>2893</v>
          </cell>
          <cell r="B321" t="str">
            <v>Manufacturing</v>
          </cell>
          <cell r="C321" t="str">
            <v>NA</v>
          </cell>
          <cell r="F321" t="str">
            <v>2893</v>
          </cell>
          <cell r="G321" t="str">
            <v>Manufacturing</v>
          </cell>
          <cell r="H321" t="str">
            <v>NA</v>
          </cell>
        </row>
        <row r="322">
          <cell r="A322" t="str">
            <v>2895</v>
          </cell>
          <cell r="B322" t="str">
            <v>Manufacturing</v>
          </cell>
          <cell r="C322" t="str">
            <v>NA</v>
          </cell>
          <cell r="F322" t="str">
            <v>2895</v>
          </cell>
          <cell r="G322" t="str">
            <v>Manufacturing</v>
          </cell>
          <cell r="H322" t="str">
            <v>NA</v>
          </cell>
        </row>
        <row r="323">
          <cell r="A323" t="str">
            <v>2899</v>
          </cell>
          <cell r="B323" t="str">
            <v>Manufacturing</v>
          </cell>
          <cell r="C323" t="str">
            <v>NA</v>
          </cell>
          <cell r="F323" t="str">
            <v>2899</v>
          </cell>
          <cell r="G323" t="str">
            <v>Manufacturing</v>
          </cell>
          <cell r="H323" t="str">
            <v>NA</v>
          </cell>
        </row>
        <row r="324">
          <cell r="A324" t="str">
            <v>2911</v>
          </cell>
          <cell r="B324" t="str">
            <v>Manufacturing</v>
          </cell>
          <cell r="C324" t="str">
            <v>NA</v>
          </cell>
          <cell r="F324" t="str">
            <v>2911</v>
          </cell>
          <cell r="G324" t="str">
            <v>Manufacturing</v>
          </cell>
          <cell r="H324" t="str">
            <v>NA</v>
          </cell>
        </row>
        <row r="325">
          <cell r="A325" t="str">
            <v>2951</v>
          </cell>
          <cell r="B325" t="str">
            <v>Manufacturing</v>
          </cell>
          <cell r="C325" t="str">
            <v>NA</v>
          </cell>
          <cell r="F325" t="str">
            <v>2951</v>
          </cell>
          <cell r="G325" t="str">
            <v>Manufacturing</v>
          </cell>
          <cell r="H325" t="str">
            <v>NA</v>
          </cell>
        </row>
        <row r="326">
          <cell r="A326" t="str">
            <v>2952</v>
          </cell>
          <cell r="B326" t="str">
            <v>Manufacturing</v>
          </cell>
          <cell r="C326" t="str">
            <v>NA</v>
          </cell>
          <cell r="F326" t="str">
            <v>2952</v>
          </cell>
          <cell r="G326" t="str">
            <v>Manufacturing</v>
          </cell>
          <cell r="H326" t="str">
            <v>NA</v>
          </cell>
        </row>
        <row r="327">
          <cell r="A327" t="str">
            <v>2992</v>
          </cell>
          <cell r="B327" t="str">
            <v>Manufacturing</v>
          </cell>
          <cell r="C327" t="str">
            <v>NA</v>
          </cell>
          <cell r="F327" t="str">
            <v>2992</v>
          </cell>
          <cell r="G327" t="str">
            <v>Manufacturing</v>
          </cell>
          <cell r="H327" t="str">
            <v>NA</v>
          </cell>
        </row>
        <row r="328">
          <cell r="A328" t="str">
            <v>2999</v>
          </cell>
          <cell r="B328" t="str">
            <v>Manufacturing</v>
          </cell>
          <cell r="C328" t="str">
            <v>NA</v>
          </cell>
          <cell r="F328" t="str">
            <v>2999</v>
          </cell>
          <cell r="G328" t="str">
            <v>Manufacturing</v>
          </cell>
          <cell r="H328" t="str">
            <v>NA</v>
          </cell>
        </row>
        <row r="329">
          <cell r="A329" t="str">
            <v>3011</v>
          </cell>
          <cell r="B329" t="str">
            <v>Manufacturing</v>
          </cell>
          <cell r="C329" t="str">
            <v>NA</v>
          </cell>
          <cell r="F329" t="str">
            <v>3011</v>
          </cell>
          <cell r="G329" t="str">
            <v>Manufacturing</v>
          </cell>
          <cell r="H329" t="str">
            <v>NA</v>
          </cell>
        </row>
        <row r="330">
          <cell r="A330" t="str">
            <v>3021</v>
          </cell>
          <cell r="B330" t="str">
            <v>Manufacturing</v>
          </cell>
          <cell r="C330" t="str">
            <v>NA</v>
          </cell>
          <cell r="F330" t="str">
            <v>3021</v>
          </cell>
          <cell r="G330" t="str">
            <v>Manufacturing</v>
          </cell>
          <cell r="H330" t="str">
            <v>NA</v>
          </cell>
        </row>
        <row r="331">
          <cell r="A331" t="str">
            <v>3052</v>
          </cell>
          <cell r="B331" t="str">
            <v>Manufacturing</v>
          </cell>
          <cell r="C331" t="str">
            <v>NA</v>
          </cell>
          <cell r="F331" t="str">
            <v>3052</v>
          </cell>
          <cell r="G331" t="str">
            <v>Manufacturing</v>
          </cell>
          <cell r="H331" t="str">
            <v>NA</v>
          </cell>
        </row>
        <row r="332">
          <cell r="A332" t="str">
            <v>3053</v>
          </cell>
          <cell r="B332" t="str">
            <v>Manufacturing</v>
          </cell>
          <cell r="C332" t="str">
            <v>NA</v>
          </cell>
          <cell r="F332" t="str">
            <v>3053</v>
          </cell>
          <cell r="G332" t="str">
            <v>Manufacturing</v>
          </cell>
          <cell r="H332" t="str">
            <v>NA</v>
          </cell>
        </row>
        <row r="333">
          <cell r="A333" t="str">
            <v>3061</v>
          </cell>
          <cell r="B333" t="str">
            <v>Manufacturing</v>
          </cell>
          <cell r="C333" t="str">
            <v>NA</v>
          </cell>
          <cell r="F333" t="str">
            <v>3061</v>
          </cell>
          <cell r="G333" t="str">
            <v>Manufacturing</v>
          </cell>
          <cell r="H333" t="str">
            <v>NA</v>
          </cell>
        </row>
        <row r="334">
          <cell r="A334" t="str">
            <v>3069</v>
          </cell>
          <cell r="B334" t="str">
            <v>Manufacturing</v>
          </cell>
          <cell r="C334" t="str">
            <v>NA</v>
          </cell>
          <cell r="F334" t="str">
            <v>3069</v>
          </cell>
          <cell r="G334" t="str">
            <v>Manufacturing</v>
          </cell>
          <cell r="H334" t="str">
            <v>NA</v>
          </cell>
        </row>
        <row r="335">
          <cell r="A335" t="str">
            <v>3081</v>
          </cell>
          <cell r="B335" t="str">
            <v>Manufacturing</v>
          </cell>
          <cell r="C335" t="str">
            <v>NA</v>
          </cell>
          <cell r="F335" t="str">
            <v>3081</v>
          </cell>
          <cell r="G335" t="str">
            <v>Manufacturing</v>
          </cell>
          <cell r="H335" t="str">
            <v>NA</v>
          </cell>
        </row>
        <row r="336">
          <cell r="A336" t="str">
            <v>3082</v>
          </cell>
          <cell r="B336" t="str">
            <v>Manufacturing</v>
          </cell>
          <cell r="C336" t="str">
            <v>NA</v>
          </cell>
          <cell r="F336" t="str">
            <v>3082</v>
          </cell>
          <cell r="G336" t="str">
            <v>Manufacturing</v>
          </cell>
          <cell r="H336" t="str">
            <v>NA</v>
          </cell>
        </row>
        <row r="337">
          <cell r="A337" t="str">
            <v>3083</v>
          </cell>
          <cell r="B337" t="str">
            <v>Manufacturing</v>
          </cell>
          <cell r="C337" t="str">
            <v>NA</v>
          </cell>
          <cell r="F337" t="str">
            <v>3083</v>
          </cell>
          <cell r="G337" t="str">
            <v>Manufacturing</v>
          </cell>
          <cell r="H337" t="str">
            <v>NA</v>
          </cell>
        </row>
        <row r="338">
          <cell r="A338" t="str">
            <v>3084</v>
          </cell>
          <cell r="B338" t="str">
            <v>Manufacturing</v>
          </cell>
          <cell r="C338" t="str">
            <v>NA</v>
          </cell>
          <cell r="F338" t="str">
            <v>3084</v>
          </cell>
          <cell r="G338" t="str">
            <v>Manufacturing</v>
          </cell>
          <cell r="H338" t="str">
            <v>NA</v>
          </cell>
        </row>
        <row r="339">
          <cell r="A339" t="str">
            <v>3085</v>
          </cell>
          <cell r="B339" t="str">
            <v>Manufacturing</v>
          </cell>
          <cell r="C339" t="str">
            <v>NA</v>
          </cell>
          <cell r="F339" t="str">
            <v>3085</v>
          </cell>
          <cell r="G339" t="str">
            <v>Manufacturing</v>
          </cell>
          <cell r="H339" t="str">
            <v>NA</v>
          </cell>
        </row>
        <row r="340">
          <cell r="A340" t="str">
            <v>3086</v>
          </cell>
          <cell r="B340" t="str">
            <v>Manufacturing</v>
          </cell>
          <cell r="C340" t="str">
            <v>NA</v>
          </cell>
          <cell r="F340" t="str">
            <v>3086</v>
          </cell>
          <cell r="G340" t="str">
            <v>Manufacturing</v>
          </cell>
          <cell r="H340" t="str">
            <v>NA</v>
          </cell>
        </row>
        <row r="341">
          <cell r="A341" t="str">
            <v>3087</v>
          </cell>
          <cell r="B341" t="str">
            <v>Manufacturing</v>
          </cell>
          <cell r="C341" t="str">
            <v>NA</v>
          </cell>
          <cell r="F341" t="str">
            <v>3087</v>
          </cell>
          <cell r="G341" t="str">
            <v>Manufacturing</v>
          </cell>
          <cell r="H341" t="str">
            <v>NA</v>
          </cell>
        </row>
        <row r="342">
          <cell r="A342" t="str">
            <v>3088</v>
          </cell>
          <cell r="B342" t="str">
            <v>Manufacturing</v>
          </cell>
          <cell r="C342" t="str">
            <v>NA</v>
          </cell>
          <cell r="F342" t="str">
            <v>3088</v>
          </cell>
          <cell r="G342" t="str">
            <v>Manufacturing</v>
          </cell>
          <cell r="H342" t="str">
            <v>NA</v>
          </cell>
        </row>
        <row r="343">
          <cell r="A343" t="str">
            <v>3089</v>
          </cell>
          <cell r="B343" t="str">
            <v>Manufacturing</v>
          </cell>
          <cell r="C343" t="str">
            <v>NA</v>
          </cell>
          <cell r="F343" t="str">
            <v>3089</v>
          </cell>
          <cell r="G343" t="str">
            <v>Manufacturing</v>
          </cell>
          <cell r="H343" t="str">
            <v>NA</v>
          </cell>
        </row>
        <row r="344">
          <cell r="A344" t="str">
            <v>3111</v>
          </cell>
          <cell r="B344" t="str">
            <v>Manufacturing</v>
          </cell>
          <cell r="C344" t="str">
            <v>NA</v>
          </cell>
          <cell r="F344" t="str">
            <v>3111</v>
          </cell>
          <cell r="G344" t="str">
            <v>Manufacturing</v>
          </cell>
          <cell r="H344" t="str">
            <v>NA</v>
          </cell>
        </row>
        <row r="345">
          <cell r="A345" t="str">
            <v>3131</v>
          </cell>
          <cell r="B345" t="str">
            <v>Manufacturing</v>
          </cell>
          <cell r="C345" t="str">
            <v>NA</v>
          </cell>
          <cell r="F345" t="str">
            <v>3131</v>
          </cell>
          <cell r="G345" t="str">
            <v>Manufacturing</v>
          </cell>
          <cell r="H345" t="str">
            <v>NA</v>
          </cell>
        </row>
        <row r="346">
          <cell r="A346" t="str">
            <v>3142</v>
          </cell>
          <cell r="B346" t="str">
            <v>Manufacturing</v>
          </cell>
          <cell r="C346" t="str">
            <v>NA</v>
          </cell>
          <cell r="F346" t="str">
            <v>3142</v>
          </cell>
          <cell r="G346" t="str">
            <v>Manufacturing</v>
          </cell>
          <cell r="H346" t="str">
            <v>NA</v>
          </cell>
        </row>
        <row r="347">
          <cell r="A347" t="str">
            <v>3143</v>
          </cell>
          <cell r="B347" t="str">
            <v>Manufacturing</v>
          </cell>
          <cell r="C347" t="str">
            <v>NA</v>
          </cell>
          <cell r="F347" t="str">
            <v>3143</v>
          </cell>
          <cell r="G347" t="str">
            <v>Manufacturing</v>
          </cell>
          <cell r="H347" t="str">
            <v>NA</v>
          </cell>
        </row>
        <row r="348">
          <cell r="A348" t="str">
            <v>3144</v>
          </cell>
          <cell r="B348" t="str">
            <v>Manufacturing</v>
          </cell>
          <cell r="C348" t="str">
            <v>NA</v>
          </cell>
          <cell r="F348" t="str">
            <v>3144</v>
          </cell>
          <cell r="G348" t="str">
            <v>Manufacturing</v>
          </cell>
          <cell r="H348" t="str">
            <v>NA</v>
          </cell>
        </row>
        <row r="349">
          <cell r="A349" t="str">
            <v>3149</v>
          </cell>
          <cell r="B349" t="str">
            <v>Manufacturing</v>
          </cell>
          <cell r="C349" t="str">
            <v>NA</v>
          </cell>
          <cell r="F349" t="str">
            <v>3149</v>
          </cell>
          <cell r="G349" t="str">
            <v>Manufacturing</v>
          </cell>
          <cell r="H349" t="str">
            <v>NA</v>
          </cell>
        </row>
        <row r="350">
          <cell r="A350" t="str">
            <v>3151</v>
          </cell>
          <cell r="B350" t="str">
            <v>Manufacturing</v>
          </cell>
          <cell r="C350" t="str">
            <v>NA</v>
          </cell>
          <cell r="F350" t="str">
            <v>3151</v>
          </cell>
          <cell r="G350" t="str">
            <v>Manufacturing</v>
          </cell>
          <cell r="H350" t="str">
            <v>NA</v>
          </cell>
        </row>
        <row r="351">
          <cell r="A351" t="str">
            <v>3161</v>
          </cell>
          <cell r="B351" t="str">
            <v>Manufacturing</v>
          </cell>
          <cell r="C351" t="str">
            <v>NA</v>
          </cell>
          <cell r="F351" t="str">
            <v>3161</v>
          </cell>
          <cell r="G351" t="str">
            <v>Manufacturing</v>
          </cell>
          <cell r="H351" t="str">
            <v>NA</v>
          </cell>
        </row>
        <row r="352">
          <cell r="A352" t="str">
            <v>3171</v>
          </cell>
          <cell r="B352" t="str">
            <v>Manufacturing</v>
          </cell>
          <cell r="C352" t="str">
            <v>NA</v>
          </cell>
          <cell r="F352" t="str">
            <v>3171</v>
          </cell>
          <cell r="G352" t="str">
            <v>Manufacturing</v>
          </cell>
          <cell r="H352" t="str">
            <v>NA</v>
          </cell>
        </row>
        <row r="353">
          <cell r="A353" t="str">
            <v>3172</v>
          </cell>
          <cell r="B353" t="str">
            <v>Manufacturing</v>
          </cell>
          <cell r="C353" t="str">
            <v>NA</v>
          </cell>
          <cell r="F353" t="str">
            <v>3172</v>
          </cell>
          <cell r="G353" t="str">
            <v>Manufacturing</v>
          </cell>
          <cell r="H353" t="str">
            <v>NA</v>
          </cell>
        </row>
        <row r="354">
          <cell r="A354" t="str">
            <v>3199</v>
          </cell>
          <cell r="B354" t="str">
            <v>Manufacturing</v>
          </cell>
          <cell r="C354" t="str">
            <v>NA</v>
          </cell>
          <cell r="F354" t="str">
            <v>3199</v>
          </cell>
          <cell r="G354" t="str">
            <v>Manufacturing</v>
          </cell>
          <cell r="H354" t="str">
            <v>NA</v>
          </cell>
        </row>
        <row r="355">
          <cell r="A355" t="str">
            <v>3211</v>
          </cell>
          <cell r="B355" t="str">
            <v>Manufacturing</v>
          </cell>
          <cell r="C355" t="str">
            <v>NA</v>
          </cell>
          <cell r="F355" t="str">
            <v>3211</v>
          </cell>
          <cell r="G355" t="str">
            <v>Manufacturing</v>
          </cell>
          <cell r="H355" t="str">
            <v>NA</v>
          </cell>
        </row>
        <row r="356">
          <cell r="A356" t="str">
            <v>3221</v>
          </cell>
          <cell r="B356" t="str">
            <v>Manufacturing</v>
          </cell>
          <cell r="C356" t="str">
            <v>NA</v>
          </cell>
          <cell r="F356" t="str">
            <v>3221</v>
          </cell>
          <cell r="G356" t="str">
            <v>Manufacturing</v>
          </cell>
          <cell r="H356" t="str">
            <v>NA</v>
          </cell>
        </row>
        <row r="357">
          <cell r="A357" t="str">
            <v>3229</v>
          </cell>
          <cell r="B357" t="str">
            <v>Manufacturing</v>
          </cell>
          <cell r="C357" t="str">
            <v>NA</v>
          </cell>
          <cell r="F357" t="str">
            <v>3229</v>
          </cell>
          <cell r="G357" t="str">
            <v>Manufacturing</v>
          </cell>
          <cell r="H357" t="str">
            <v>NA</v>
          </cell>
        </row>
        <row r="358">
          <cell r="A358" t="str">
            <v>3231</v>
          </cell>
          <cell r="B358" t="str">
            <v>Manufacturing</v>
          </cell>
          <cell r="C358" t="str">
            <v>NA</v>
          </cell>
          <cell r="F358" t="str">
            <v>3231</v>
          </cell>
          <cell r="G358" t="str">
            <v>Manufacturing</v>
          </cell>
          <cell r="H358" t="str">
            <v>NA</v>
          </cell>
        </row>
        <row r="359">
          <cell r="A359" t="str">
            <v>3241</v>
          </cell>
          <cell r="B359" t="str">
            <v>Manufacturing</v>
          </cell>
          <cell r="C359" t="str">
            <v>NA</v>
          </cell>
          <cell r="F359" t="str">
            <v>3241</v>
          </cell>
          <cell r="G359" t="str">
            <v>Manufacturing</v>
          </cell>
          <cell r="H359" t="str">
            <v>NA</v>
          </cell>
        </row>
        <row r="360">
          <cell r="A360" t="str">
            <v>3251</v>
          </cell>
          <cell r="B360" t="str">
            <v>Manufacturing</v>
          </cell>
          <cell r="C360" t="str">
            <v>NA</v>
          </cell>
          <cell r="F360" t="str">
            <v>3251</v>
          </cell>
          <cell r="G360" t="str">
            <v>Manufacturing</v>
          </cell>
          <cell r="H360" t="str">
            <v>NA</v>
          </cell>
        </row>
        <row r="361">
          <cell r="A361" t="str">
            <v>3253</v>
          </cell>
          <cell r="B361" t="str">
            <v>Manufacturing</v>
          </cell>
          <cell r="C361" t="str">
            <v>NA</v>
          </cell>
          <cell r="F361" t="str">
            <v>3253</v>
          </cell>
          <cell r="G361" t="str">
            <v>Manufacturing</v>
          </cell>
          <cell r="H361" t="str">
            <v>NA</v>
          </cell>
        </row>
        <row r="362">
          <cell r="A362" t="str">
            <v>3255</v>
          </cell>
          <cell r="B362" t="str">
            <v>Manufacturing</v>
          </cell>
          <cell r="C362" t="str">
            <v>NA</v>
          </cell>
          <cell r="F362" t="str">
            <v>3255</v>
          </cell>
          <cell r="G362" t="str">
            <v>Manufacturing</v>
          </cell>
          <cell r="H362" t="str">
            <v>NA</v>
          </cell>
        </row>
        <row r="363">
          <cell r="A363" t="str">
            <v>3259</v>
          </cell>
          <cell r="B363" t="str">
            <v>Manufacturing</v>
          </cell>
          <cell r="C363" t="str">
            <v>NA</v>
          </cell>
          <cell r="F363" t="str">
            <v>3259</v>
          </cell>
          <cell r="G363" t="str">
            <v>Manufacturing</v>
          </cell>
          <cell r="H363" t="str">
            <v>NA</v>
          </cell>
        </row>
        <row r="364">
          <cell r="A364" t="str">
            <v>3261</v>
          </cell>
          <cell r="B364" t="str">
            <v>Manufacturing</v>
          </cell>
          <cell r="C364" t="str">
            <v>NA</v>
          </cell>
          <cell r="F364" t="str">
            <v>3261</v>
          </cell>
          <cell r="G364" t="str">
            <v>Manufacturing</v>
          </cell>
          <cell r="H364" t="str">
            <v>NA</v>
          </cell>
        </row>
        <row r="365">
          <cell r="A365" t="str">
            <v>3262</v>
          </cell>
          <cell r="B365" t="str">
            <v>Manufacturing</v>
          </cell>
          <cell r="C365" t="str">
            <v>NA</v>
          </cell>
          <cell r="F365" t="str">
            <v>3262</v>
          </cell>
          <cell r="G365" t="str">
            <v>Manufacturing</v>
          </cell>
          <cell r="H365" t="str">
            <v>NA</v>
          </cell>
        </row>
        <row r="366">
          <cell r="A366" t="str">
            <v>3263</v>
          </cell>
          <cell r="B366" t="str">
            <v>Manufacturing</v>
          </cell>
          <cell r="C366" t="str">
            <v>NA</v>
          </cell>
          <cell r="F366" t="str">
            <v>3263</v>
          </cell>
          <cell r="G366" t="str">
            <v>Manufacturing</v>
          </cell>
          <cell r="H366" t="str">
            <v>NA</v>
          </cell>
        </row>
        <row r="367">
          <cell r="A367" t="str">
            <v>3264</v>
          </cell>
          <cell r="B367" t="str">
            <v>Manufacturing</v>
          </cell>
          <cell r="C367" t="str">
            <v>NA</v>
          </cell>
          <cell r="F367" t="str">
            <v>3264</v>
          </cell>
          <cell r="G367" t="str">
            <v>Manufacturing</v>
          </cell>
          <cell r="H367" t="str">
            <v>NA</v>
          </cell>
        </row>
        <row r="368">
          <cell r="A368" t="str">
            <v>3269</v>
          </cell>
          <cell r="B368" t="str">
            <v>Manufacturing</v>
          </cell>
          <cell r="C368" t="str">
            <v>NA</v>
          </cell>
          <cell r="F368" t="str">
            <v>3269</v>
          </cell>
          <cell r="G368" t="str">
            <v>Manufacturing</v>
          </cell>
          <cell r="H368" t="str">
            <v>NA</v>
          </cell>
        </row>
        <row r="369">
          <cell r="A369" t="str">
            <v>3271</v>
          </cell>
          <cell r="B369" t="str">
            <v>Manufacturing</v>
          </cell>
          <cell r="C369" t="str">
            <v>NA</v>
          </cell>
          <cell r="F369" t="str">
            <v>3271</v>
          </cell>
          <cell r="G369" t="str">
            <v>Manufacturing</v>
          </cell>
          <cell r="H369" t="str">
            <v>NA</v>
          </cell>
        </row>
        <row r="370">
          <cell r="A370" t="str">
            <v>3272</v>
          </cell>
          <cell r="B370" t="str">
            <v>Manufacturing</v>
          </cell>
          <cell r="C370" t="str">
            <v>NA</v>
          </cell>
          <cell r="F370" t="str">
            <v>3272</v>
          </cell>
          <cell r="G370" t="str">
            <v>Manufacturing</v>
          </cell>
          <cell r="H370" t="str">
            <v>NA</v>
          </cell>
        </row>
        <row r="371">
          <cell r="A371" t="str">
            <v>3273</v>
          </cell>
          <cell r="B371" t="str">
            <v>Manufacturing</v>
          </cell>
          <cell r="C371" t="str">
            <v>NA</v>
          </cell>
          <cell r="F371" t="str">
            <v>3273</v>
          </cell>
          <cell r="G371" t="str">
            <v>Manufacturing</v>
          </cell>
          <cell r="H371" t="str">
            <v>NA</v>
          </cell>
        </row>
        <row r="372">
          <cell r="A372" t="str">
            <v>3274</v>
          </cell>
          <cell r="B372" t="str">
            <v>Manufacturing</v>
          </cell>
          <cell r="C372" t="str">
            <v>NA</v>
          </cell>
          <cell r="F372" t="str">
            <v>3274</v>
          </cell>
          <cell r="G372" t="str">
            <v>Manufacturing</v>
          </cell>
          <cell r="H372" t="str">
            <v>NA</v>
          </cell>
        </row>
        <row r="373">
          <cell r="A373" t="str">
            <v>3275</v>
          </cell>
          <cell r="B373" t="str">
            <v>Manufacturing</v>
          </cell>
          <cell r="C373" t="str">
            <v>NA</v>
          </cell>
          <cell r="F373" t="str">
            <v>3275</v>
          </cell>
          <cell r="G373" t="str">
            <v>Manufacturing</v>
          </cell>
          <cell r="H373" t="str">
            <v>NA</v>
          </cell>
        </row>
        <row r="374">
          <cell r="A374" t="str">
            <v>3281</v>
          </cell>
          <cell r="B374" t="str">
            <v>Manufacturing</v>
          </cell>
          <cell r="C374" t="str">
            <v>NA</v>
          </cell>
          <cell r="F374" t="str">
            <v>3281</v>
          </cell>
          <cell r="G374" t="str">
            <v>Manufacturing</v>
          </cell>
          <cell r="H374" t="str">
            <v>NA</v>
          </cell>
        </row>
        <row r="375">
          <cell r="A375" t="str">
            <v>3291</v>
          </cell>
          <cell r="B375" t="str">
            <v>Manufacturing</v>
          </cell>
          <cell r="C375" t="str">
            <v>NA</v>
          </cell>
          <cell r="F375" t="str">
            <v>3291</v>
          </cell>
          <cell r="G375" t="str">
            <v>Manufacturing</v>
          </cell>
          <cell r="H375" t="str">
            <v>NA</v>
          </cell>
        </row>
        <row r="376">
          <cell r="A376" t="str">
            <v>3292</v>
          </cell>
          <cell r="B376" t="str">
            <v>Manufacturing</v>
          </cell>
          <cell r="C376" t="str">
            <v>NA</v>
          </cell>
          <cell r="F376" t="str">
            <v>3292</v>
          </cell>
          <cell r="G376" t="str">
            <v>Manufacturing</v>
          </cell>
          <cell r="H376" t="str">
            <v>NA</v>
          </cell>
        </row>
        <row r="377">
          <cell r="A377" t="str">
            <v>3295</v>
          </cell>
          <cell r="B377" t="str">
            <v>Manufacturing</v>
          </cell>
          <cell r="C377" t="str">
            <v>NA</v>
          </cell>
          <cell r="F377" t="str">
            <v>3295</v>
          </cell>
          <cell r="G377" t="str">
            <v>Manufacturing</v>
          </cell>
          <cell r="H377" t="str">
            <v>NA</v>
          </cell>
        </row>
        <row r="378">
          <cell r="A378" t="str">
            <v>3296</v>
          </cell>
          <cell r="B378" t="str">
            <v>Manufacturing</v>
          </cell>
          <cell r="C378" t="str">
            <v>NA</v>
          </cell>
          <cell r="F378" t="str">
            <v>3296</v>
          </cell>
          <cell r="G378" t="str">
            <v>Manufacturing</v>
          </cell>
          <cell r="H378" t="str">
            <v>NA</v>
          </cell>
        </row>
        <row r="379">
          <cell r="A379" t="str">
            <v>3297</v>
          </cell>
          <cell r="B379" t="str">
            <v>Manufacturing</v>
          </cell>
          <cell r="C379" t="str">
            <v>NA</v>
          </cell>
          <cell r="F379" t="str">
            <v>3297</v>
          </cell>
          <cell r="G379" t="str">
            <v>Manufacturing</v>
          </cell>
          <cell r="H379" t="str">
            <v>NA</v>
          </cell>
        </row>
        <row r="380">
          <cell r="A380" t="str">
            <v>3299</v>
          </cell>
          <cell r="B380" t="str">
            <v>Manufacturing</v>
          </cell>
          <cell r="C380" t="str">
            <v>NA</v>
          </cell>
          <cell r="F380" t="str">
            <v>3299</v>
          </cell>
          <cell r="G380" t="str">
            <v>Manufacturing</v>
          </cell>
          <cell r="H380" t="str">
            <v>NA</v>
          </cell>
        </row>
        <row r="381">
          <cell r="A381" t="str">
            <v>3312</v>
          </cell>
          <cell r="B381" t="str">
            <v>Manufacturing</v>
          </cell>
          <cell r="C381" t="str">
            <v>NA</v>
          </cell>
          <cell r="F381" t="str">
            <v>3312</v>
          </cell>
          <cell r="G381" t="str">
            <v>Manufacturing</v>
          </cell>
          <cell r="H381" t="str">
            <v>NA</v>
          </cell>
        </row>
        <row r="382">
          <cell r="A382" t="str">
            <v>3313</v>
          </cell>
          <cell r="B382" t="str">
            <v>Manufacturing</v>
          </cell>
          <cell r="C382" t="str">
            <v>NA</v>
          </cell>
          <cell r="F382" t="str">
            <v>3313</v>
          </cell>
          <cell r="G382" t="str">
            <v>Manufacturing</v>
          </cell>
          <cell r="H382" t="str">
            <v>NA</v>
          </cell>
        </row>
        <row r="383">
          <cell r="A383" t="str">
            <v>3315</v>
          </cell>
          <cell r="B383" t="str">
            <v>Manufacturing</v>
          </cell>
          <cell r="C383" t="str">
            <v>NA</v>
          </cell>
          <cell r="F383" t="str">
            <v>3315</v>
          </cell>
          <cell r="G383" t="str">
            <v>Manufacturing</v>
          </cell>
          <cell r="H383" t="str">
            <v>NA</v>
          </cell>
        </row>
        <row r="384">
          <cell r="A384" t="str">
            <v>3316</v>
          </cell>
          <cell r="B384" t="str">
            <v>Manufacturing</v>
          </cell>
          <cell r="C384" t="str">
            <v>NA</v>
          </cell>
          <cell r="F384" t="str">
            <v>3316</v>
          </cell>
          <cell r="G384" t="str">
            <v>Manufacturing</v>
          </cell>
          <cell r="H384" t="str">
            <v>NA</v>
          </cell>
        </row>
        <row r="385">
          <cell r="A385" t="str">
            <v>3317</v>
          </cell>
          <cell r="B385" t="str">
            <v>Manufacturing</v>
          </cell>
          <cell r="C385" t="str">
            <v>NA</v>
          </cell>
          <cell r="F385" t="str">
            <v>3317</v>
          </cell>
          <cell r="G385" t="str">
            <v>Manufacturing</v>
          </cell>
          <cell r="H385" t="str">
            <v>NA</v>
          </cell>
        </row>
        <row r="386">
          <cell r="A386" t="str">
            <v>3321</v>
          </cell>
          <cell r="B386" t="str">
            <v>Manufacturing</v>
          </cell>
          <cell r="C386" t="str">
            <v>NA</v>
          </cell>
          <cell r="F386" t="str">
            <v>3321</v>
          </cell>
          <cell r="G386" t="str">
            <v>Manufacturing</v>
          </cell>
          <cell r="H386" t="str">
            <v>NA</v>
          </cell>
        </row>
        <row r="387">
          <cell r="A387" t="str">
            <v>3322</v>
          </cell>
          <cell r="B387" t="str">
            <v>Manufacturing</v>
          </cell>
          <cell r="C387" t="str">
            <v>NA</v>
          </cell>
          <cell r="F387" t="str">
            <v>3322</v>
          </cell>
          <cell r="G387" t="str">
            <v>Manufacturing</v>
          </cell>
          <cell r="H387" t="str">
            <v>NA</v>
          </cell>
        </row>
        <row r="388">
          <cell r="A388" t="str">
            <v>3324</v>
          </cell>
          <cell r="B388" t="str">
            <v>Manufacturing</v>
          </cell>
          <cell r="C388" t="str">
            <v>NA</v>
          </cell>
          <cell r="F388" t="str">
            <v>3324</v>
          </cell>
          <cell r="G388" t="str">
            <v>Manufacturing</v>
          </cell>
          <cell r="H388" t="str">
            <v>NA</v>
          </cell>
        </row>
        <row r="389">
          <cell r="A389" t="str">
            <v>3325</v>
          </cell>
          <cell r="B389" t="str">
            <v>Manufacturing</v>
          </cell>
          <cell r="C389" t="str">
            <v>NA</v>
          </cell>
          <cell r="F389" t="str">
            <v>3325</v>
          </cell>
          <cell r="G389" t="str">
            <v>Manufacturing</v>
          </cell>
          <cell r="H389" t="str">
            <v>NA</v>
          </cell>
        </row>
        <row r="390">
          <cell r="A390" t="str">
            <v>3331</v>
          </cell>
          <cell r="B390" t="str">
            <v>Manufacturing</v>
          </cell>
          <cell r="C390" t="str">
            <v>NA</v>
          </cell>
          <cell r="F390" t="str">
            <v>3331</v>
          </cell>
          <cell r="G390" t="str">
            <v>Manufacturing</v>
          </cell>
          <cell r="H390" t="str">
            <v>NA</v>
          </cell>
        </row>
        <row r="391">
          <cell r="A391" t="str">
            <v>3334</v>
          </cell>
          <cell r="B391" t="str">
            <v>Manufacturing</v>
          </cell>
          <cell r="C391" t="str">
            <v>NA</v>
          </cell>
          <cell r="F391" t="str">
            <v>3334</v>
          </cell>
          <cell r="G391" t="str">
            <v>Manufacturing</v>
          </cell>
          <cell r="H391" t="str">
            <v>NA</v>
          </cell>
        </row>
        <row r="392">
          <cell r="A392" t="str">
            <v>3339</v>
          </cell>
          <cell r="B392" t="str">
            <v>Manufacturing</v>
          </cell>
          <cell r="C392" t="str">
            <v>NA</v>
          </cell>
          <cell r="F392" t="str">
            <v>3339</v>
          </cell>
          <cell r="G392" t="str">
            <v>Manufacturing</v>
          </cell>
          <cell r="H392" t="str">
            <v>NA</v>
          </cell>
        </row>
        <row r="393">
          <cell r="A393" t="str">
            <v>3341</v>
          </cell>
          <cell r="B393" t="str">
            <v>Manufacturing</v>
          </cell>
          <cell r="C393" t="str">
            <v>NA</v>
          </cell>
          <cell r="F393" t="str">
            <v>3341</v>
          </cell>
          <cell r="G393" t="str">
            <v>Manufacturing</v>
          </cell>
          <cell r="H393" t="str">
            <v>NA</v>
          </cell>
        </row>
        <row r="394">
          <cell r="A394" t="str">
            <v>3351</v>
          </cell>
          <cell r="B394" t="str">
            <v>Manufacturing</v>
          </cell>
          <cell r="C394" t="str">
            <v>NA</v>
          </cell>
          <cell r="F394" t="str">
            <v>3351</v>
          </cell>
          <cell r="G394" t="str">
            <v>Manufacturing</v>
          </cell>
          <cell r="H394" t="str">
            <v>NA</v>
          </cell>
        </row>
        <row r="395">
          <cell r="A395" t="str">
            <v>3353</v>
          </cell>
          <cell r="B395" t="str">
            <v>Manufacturing</v>
          </cell>
          <cell r="C395" t="str">
            <v>NA</v>
          </cell>
          <cell r="F395" t="str">
            <v>3353</v>
          </cell>
          <cell r="G395" t="str">
            <v>Manufacturing</v>
          </cell>
          <cell r="H395" t="str">
            <v>NA</v>
          </cell>
        </row>
        <row r="396">
          <cell r="A396" t="str">
            <v>3354</v>
          </cell>
          <cell r="B396" t="str">
            <v>Manufacturing</v>
          </cell>
          <cell r="C396" t="str">
            <v>NA</v>
          </cell>
          <cell r="F396" t="str">
            <v>3354</v>
          </cell>
          <cell r="G396" t="str">
            <v>Manufacturing</v>
          </cell>
          <cell r="H396" t="str">
            <v>NA</v>
          </cell>
        </row>
        <row r="397">
          <cell r="A397" t="str">
            <v>3355</v>
          </cell>
          <cell r="B397" t="str">
            <v>Manufacturing</v>
          </cell>
          <cell r="C397" t="str">
            <v>NA</v>
          </cell>
          <cell r="F397" t="str">
            <v>3355</v>
          </cell>
          <cell r="G397" t="str">
            <v>Manufacturing</v>
          </cell>
          <cell r="H397" t="str">
            <v>NA</v>
          </cell>
        </row>
        <row r="398">
          <cell r="A398" t="str">
            <v>3356</v>
          </cell>
          <cell r="B398" t="str">
            <v>Manufacturing</v>
          </cell>
          <cell r="C398" t="str">
            <v>NA</v>
          </cell>
          <cell r="F398" t="str">
            <v>3356</v>
          </cell>
          <cell r="G398" t="str">
            <v>Manufacturing</v>
          </cell>
          <cell r="H398" t="str">
            <v>NA</v>
          </cell>
        </row>
        <row r="399">
          <cell r="A399" t="str">
            <v>3357</v>
          </cell>
          <cell r="B399" t="str">
            <v>Manufacturing</v>
          </cell>
          <cell r="C399" t="str">
            <v>NA</v>
          </cell>
          <cell r="F399" t="str">
            <v>3357</v>
          </cell>
          <cell r="G399" t="str">
            <v>Manufacturing</v>
          </cell>
          <cell r="H399" t="str">
            <v>NA</v>
          </cell>
        </row>
        <row r="400">
          <cell r="A400" t="str">
            <v>3363</v>
          </cell>
          <cell r="B400" t="str">
            <v>Manufacturing</v>
          </cell>
          <cell r="C400" t="str">
            <v>NA</v>
          </cell>
          <cell r="F400" t="str">
            <v>3363</v>
          </cell>
          <cell r="G400" t="str">
            <v>Manufacturing</v>
          </cell>
          <cell r="H400" t="str">
            <v>NA</v>
          </cell>
        </row>
        <row r="401">
          <cell r="A401" t="str">
            <v>3364</v>
          </cell>
          <cell r="B401" t="str">
            <v>Manufacturing</v>
          </cell>
          <cell r="C401" t="str">
            <v>NA</v>
          </cell>
          <cell r="F401" t="str">
            <v>3364</v>
          </cell>
          <cell r="G401" t="str">
            <v>Manufacturing</v>
          </cell>
          <cell r="H401" t="str">
            <v>NA</v>
          </cell>
        </row>
        <row r="402">
          <cell r="A402" t="str">
            <v>3365</v>
          </cell>
          <cell r="B402" t="str">
            <v>Manufacturing</v>
          </cell>
          <cell r="C402" t="str">
            <v>NA</v>
          </cell>
          <cell r="F402" t="str">
            <v>3365</v>
          </cell>
          <cell r="G402" t="str">
            <v>Manufacturing</v>
          </cell>
          <cell r="H402" t="str">
            <v>NA</v>
          </cell>
        </row>
        <row r="403">
          <cell r="A403" t="str">
            <v>3366</v>
          </cell>
          <cell r="B403" t="str">
            <v>Manufacturing</v>
          </cell>
          <cell r="C403" t="str">
            <v>NA</v>
          </cell>
          <cell r="F403" t="str">
            <v>3366</v>
          </cell>
          <cell r="G403" t="str">
            <v>Manufacturing</v>
          </cell>
          <cell r="H403" t="str">
            <v>NA</v>
          </cell>
        </row>
        <row r="404">
          <cell r="A404" t="str">
            <v>3369</v>
          </cell>
          <cell r="B404" t="str">
            <v>Manufacturing</v>
          </cell>
          <cell r="C404" t="str">
            <v>NA</v>
          </cell>
          <cell r="F404" t="str">
            <v>3369</v>
          </cell>
          <cell r="G404" t="str">
            <v>Manufacturing</v>
          </cell>
          <cell r="H404" t="str">
            <v>NA</v>
          </cell>
        </row>
        <row r="405">
          <cell r="A405" t="str">
            <v>3398</v>
          </cell>
          <cell r="B405" t="str">
            <v>Manufacturing</v>
          </cell>
          <cell r="C405" t="str">
            <v>NA</v>
          </cell>
          <cell r="F405" t="str">
            <v>3398</v>
          </cell>
          <cell r="G405" t="str">
            <v>Manufacturing</v>
          </cell>
          <cell r="H405" t="str">
            <v>NA</v>
          </cell>
        </row>
        <row r="406">
          <cell r="A406" t="str">
            <v>3399</v>
          </cell>
          <cell r="B406" t="str">
            <v>Manufacturing</v>
          </cell>
          <cell r="C406" t="str">
            <v>NA</v>
          </cell>
          <cell r="F406" t="str">
            <v>3399</v>
          </cell>
          <cell r="G406" t="str">
            <v>Manufacturing</v>
          </cell>
          <cell r="H406" t="str">
            <v>NA</v>
          </cell>
        </row>
        <row r="407">
          <cell r="A407" t="str">
            <v>3411</v>
          </cell>
          <cell r="B407" t="str">
            <v>Manufacturing</v>
          </cell>
          <cell r="C407" t="str">
            <v>NA</v>
          </cell>
          <cell r="F407" t="str">
            <v>3411</v>
          </cell>
          <cell r="G407" t="str">
            <v>Manufacturing</v>
          </cell>
          <cell r="H407" t="str">
            <v>NA</v>
          </cell>
        </row>
        <row r="408">
          <cell r="A408" t="str">
            <v>3412</v>
          </cell>
          <cell r="B408" t="str">
            <v>Manufacturing</v>
          </cell>
          <cell r="C408" t="str">
            <v>NA</v>
          </cell>
          <cell r="F408" t="str">
            <v>3412</v>
          </cell>
          <cell r="G408" t="str">
            <v>Manufacturing</v>
          </cell>
          <cell r="H408" t="str">
            <v>NA</v>
          </cell>
        </row>
        <row r="409">
          <cell r="A409" t="str">
            <v>3421</v>
          </cell>
          <cell r="B409" t="str">
            <v>Manufacturing</v>
          </cell>
          <cell r="C409" t="str">
            <v>NA</v>
          </cell>
          <cell r="F409" t="str">
            <v>3421</v>
          </cell>
          <cell r="G409" t="str">
            <v>Manufacturing</v>
          </cell>
          <cell r="H409" t="str">
            <v>NA</v>
          </cell>
        </row>
        <row r="410">
          <cell r="A410" t="str">
            <v>3423</v>
          </cell>
          <cell r="B410" t="str">
            <v>Manufacturing</v>
          </cell>
          <cell r="C410" t="str">
            <v>NA</v>
          </cell>
          <cell r="F410" t="str">
            <v>3423</v>
          </cell>
          <cell r="G410" t="str">
            <v>Manufacturing</v>
          </cell>
          <cell r="H410" t="str">
            <v>NA</v>
          </cell>
        </row>
        <row r="411">
          <cell r="A411" t="str">
            <v>3425</v>
          </cell>
          <cell r="B411" t="str">
            <v>Manufacturing</v>
          </cell>
          <cell r="C411" t="str">
            <v>NA</v>
          </cell>
          <cell r="F411" t="str">
            <v>3425</v>
          </cell>
          <cell r="G411" t="str">
            <v>Manufacturing</v>
          </cell>
          <cell r="H411" t="str">
            <v>NA</v>
          </cell>
        </row>
        <row r="412">
          <cell r="A412" t="str">
            <v>3429</v>
          </cell>
          <cell r="B412" t="str">
            <v>Manufacturing</v>
          </cell>
          <cell r="C412" t="str">
            <v>NA</v>
          </cell>
          <cell r="F412" t="str">
            <v>3429</v>
          </cell>
          <cell r="G412" t="str">
            <v>Manufacturing</v>
          </cell>
          <cell r="H412" t="str">
            <v>NA</v>
          </cell>
        </row>
        <row r="413">
          <cell r="A413" t="str">
            <v>3431</v>
          </cell>
          <cell r="B413" t="str">
            <v>Manufacturing</v>
          </cell>
          <cell r="C413" t="str">
            <v>NA</v>
          </cell>
          <cell r="F413" t="str">
            <v>3431</v>
          </cell>
          <cell r="G413" t="str">
            <v>Manufacturing</v>
          </cell>
          <cell r="H413" t="str">
            <v>NA</v>
          </cell>
        </row>
        <row r="414">
          <cell r="A414" t="str">
            <v>3432</v>
          </cell>
          <cell r="B414" t="str">
            <v>Manufacturing</v>
          </cell>
          <cell r="C414" t="str">
            <v>NA</v>
          </cell>
          <cell r="F414" t="str">
            <v>3432</v>
          </cell>
          <cell r="G414" t="str">
            <v>Manufacturing</v>
          </cell>
          <cell r="H414" t="str">
            <v>NA</v>
          </cell>
        </row>
        <row r="415">
          <cell r="A415" t="str">
            <v>3433</v>
          </cell>
          <cell r="B415" t="str">
            <v>Manufacturing</v>
          </cell>
          <cell r="C415" t="str">
            <v>NA</v>
          </cell>
          <cell r="F415" t="str">
            <v>3433</v>
          </cell>
          <cell r="G415" t="str">
            <v>Manufacturing</v>
          </cell>
          <cell r="H415" t="str">
            <v>NA</v>
          </cell>
        </row>
        <row r="416">
          <cell r="A416" t="str">
            <v>3441</v>
          </cell>
          <cell r="B416" t="str">
            <v>Manufacturing</v>
          </cell>
          <cell r="C416" t="str">
            <v>NA</v>
          </cell>
          <cell r="F416" t="str">
            <v>3441</v>
          </cell>
          <cell r="G416" t="str">
            <v>Manufacturing</v>
          </cell>
          <cell r="H416" t="str">
            <v>NA</v>
          </cell>
        </row>
        <row r="417">
          <cell r="A417" t="str">
            <v>3442</v>
          </cell>
          <cell r="B417" t="str">
            <v>Manufacturing</v>
          </cell>
          <cell r="C417" t="str">
            <v>NA</v>
          </cell>
          <cell r="F417" t="str">
            <v>3442</v>
          </cell>
          <cell r="G417" t="str">
            <v>Manufacturing</v>
          </cell>
          <cell r="H417" t="str">
            <v>NA</v>
          </cell>
        </row>
        <row r="418">
          <cell r="A418" t="str">
            <v>3443</v>
          </cell>
          <cell r="B418" t="str">
            <v>Manufacturing</v>
          </cell>
          <cell r="C418" t="str">
            <v>NA</v>
          </cell>
          <cell r="F418" t="str">
            <v>3443</v>
          </cell>
          <cell r="G418" t="str">
            <v>Manufacturing</v>
          </cell>
          <cell r="H418" t="str">
            <v>NA</v>
          </cell>
        </row>
        <row r="419">
          <cell r="A419" t="str">
            <v>3444</v>
          </cell>
          <cell r="B419" t="str">
            <v>Manufacturing</v>
          </cell>
          <cell r="C419" t="str">
            <v>NA</v>
          </cell>
          <cell r="F419" t="str">
            <v>3444</v>
          </cell>
          <cell r="G419" t="str">
            <v>Manufacturing</v>
          </cell>
          <cell r="H419" t="str">
            <v>NA</v>
          </cell>
        </row>
        <row r="420">
          <cell r="A420" t="str">
            <v>3446</v>
          </cell>
          <cell r="B420" t="str">
            <v>Manufacturing</v>
          </cell>
          <cell r="C420" t="str">
            <v>NA</v>
          </cell>
          <cell r="F420" t="str">
            <v>3446</v>
          </cell>
          <cell r="G420" t="str">
            <v>Manufacturing</v>
          </cell>
          <cell r="H420" t="str">
            <v>NA</v>
          </cell>
        </row>
        <row r="421">
          <cell r="A421" t="str">
            <v>3448</v>
          </cell>
          <cell r="B421" t="str">
            <v>Manufacturing</v>
          </cell>
          <cell r="C421" t="str">
            <v>NA</v>
          </cell>
          <cell r="F421" t="str">
            <v>3448</v>
          </cell>
          <cell r="G421" t="str">
            <v>Manufacturing</v>
          </cell>
          <cell r="H421" t="str">
            <v>NA</v>
          </cell>
        </row>
        <row r="422">
          <cell r="A422" t="str">
            <v>3449</v>
          </cell>
          <cell r="B422" t="str">
            <v>Manufacturing</v>
          </cell>
          <cell r="C422" t="str">
            <v>NA</v>
          </cell>
          <cell r="F422" t="str">
            <v>3449</v>
          </cell>
          <cell r="G422" t="str">
            <v>Manufacturing</v>
          </cell>
          <cell r="H422" t="str">
            <v>NA</v>
          </cell>
        </row>
        <row r="423">
          <cell r="A423" t="str">
            <v>3451</v>
          </cell>
          <cell r="B423" t="str">
            <v>Manufacturing</v>
          </cell>
          <cell r="C423" t="str">
            <v>NA</v>
          </cell>
          <cell r="F423" t="str">
            <v>3451</v>
          </cell>
          <cell r="G423" t="str">
            <v>Manufacturing</v>
          </cell>
          <cell r="H423" t="str">
            <v>NA</v>
          </cell>
        </row>
        <row r="424">
          <cell r="A424" t="str">
            <v>3452</v>
          </cell>
          <cell r="B424" t="str">
            <v>Manufacturing</v>
          </cell>
          <cell r="C424" t="str">
            <v>NA</v>
          </cell>
          <cell r="F424" t="str">
            <v>3452</v>
          </cell>
          <cell r="G424" t="str">
            <v>Manufacturing</v>
          </cell>
          <cell r="H424" t="str">
            <v>NA</v>
          </cell>
        </row>
        <row r="425">
          <cell r="A425" t="str">
            <v>3462</v>
          </cell>
          <cell r="B425" t="str">
            <v>Manufacturing</v>
          </cell>
          <cell r="C425" t="str">
            <v>NA</v>
          </cell>
          <cell r="F425" t="str">
            <v>3462</v>
          </cell>
          <cell r="G425" t="str">
            <v>Manufacturing</v>
          </cell>
          <cell r="H425" t="str">
            <v>NA</v>
          </cell>
        </row>
        <row r="426">
          <cell r="A426" t="str">
            <v>3463</v>
          </cell>
          <cell r="B426" t="str">
            <v>Manufacturing</v>
          </cell>
          <cell r="C426" t="str">
            <v>NA</v>
          </cell>
          <cell r="F426" t="str">
            <v>3463</v>
          </cell>
          <cell r="G426" t="str">
            <v>Manufacturing</v>
          </cell>
          <cell r="H426" t="str">
            <v>NA</v>
          </cell>
        </row>
        <row r="427">
          <cell r="A427" t="str">
            <v>3465</v>
          </cell>
          <cell r="B427" t="str">
            <v>Manufacturing</v>
          </cell>
          <cell r="C427" t="str">
            <v>NA</v>
          </cell>
          <cell r="F427" t="str">
            <v>3465</v>
          </cell>
          <cell r="G427" t="str">
            <v>Manufacturing</v>
          </cell>
          <cell r="H427" t="str">
            <v>NA</v>
          </cell>
        </row>
        <row r="428">
          <cell r="A428" t="str">
            <v>3466</v>
          </cell>
          <cell r="B428" t="str">
            <v>Manufacturing</v>
          </cell>
          <cell r="C428" t="str">
            <v>NA</v>
          </cell>
          <cell r="F428" t="str">
            <v>3466</v>
          </cell>
          <cell r="G428" t="str">
            <v>Manufacturing</v>
          </cell>
          <cell r="H428" t="str">
            <v>NA</v>
          </cell>
        </row>
        <row r="429">
          <cell r="A429" t="str">
            <v>3469</v>
          </cell>
          <cell r="B429" t="str">
            <v>Manufacturing</v>
          </cell>
          <cell r="C429" t="str">
            <v>NA</v>
          </cell>
          <cell r="F429" t="str">
            <v>3469</v>
          </cell>
          <cell r="G429" t="str">
            <v>Manufacturing</v>
          </cell>
          <cell r="H429" t="str">
            <v>NA</v>
          </cell>
        </row>
        <row r="430">
          <cell r="A430" t="str">
            <v>3471</v>
          </cell>
          <cell r="B430" t="str">
            <v>Manufacturing</v>
          </cell>
          <cell r="C430" t="str">
            <v>NA</v>
          </cell>
          <cell r="F430" t="str">
            <v>3471</v>
          </cell>
          <cell r="G430" t="str">
            <v>Manufacturing</v>
          </cell>
          <cell r="H430" t="str">
            <v>NA</v>
          </cell>
        </row>
        <row r="431">
          <cell r="A431" t="str">
            <v>3479</v>
          </cell>
          <cell r="B431" t="str">
            <v>Manufacturing</v>
          </cell>
          <cell r="C431" t="str">
            <v>NA</v>
          </cell>
          <cell r="F431" t="str">
            <v>3479</v>
          </cell>
          <cell r="G431" t="str">
            <v>Manufacturing</v>
          </cell>
          <cell r="H431" t="str">
            <v>NA</v>
          </cell>
        </row>
        <row r="432">
          <cell r="A432" t="str">
            <v>3482</v>
          </cell>
          <cell r="B432" t="str">
            <v>Manufacturing</v>
          </cell>
          <cell r="C432" t="str">
            <v>NA</v>
          </cell>
          <cell r="F432" t="str">
            <v>3482</v>
          </cell>
          <cell r="G432" t="str">
            <v>Manufacturing</v>
          </cell>
          <cell r="H432" t="str">
            <v>NA</v>
          </cell>
        </row>
        <row r="433">
          <cell r="A433" t="str">
            <v>3483</v>
          </cell>
          <cell r="B433" t="str">
            <v>Manufacturing</v>
          </cell>
          <cell r="C433" t="str">
            <v>NA</v>
          </cell>
          <cell r="F433" t="str">
            <v>3483</v>
          </cell>
          <cell r="G433" t="str">
            <v>Manufacturing</v>
          </cell>
          <cell r="H433" t="str">
            <v>NA</v>
          </cell>
        </row>
        <row r="434">
          <cell r="A434" t="str">
            <v>3484</v>
          </cell>
          <cell r="B434" t="str">
            <v>Manufacturing</v>
          </cell>
          <cell r="C434" t="str">
            <v>NA</v>
          </cell>
          <cell r="F434" t="str">
            <v>3484</v>
          </cell>
          <cell r="G434" t="str">
            <v>Manufacturing</v>
          </cell>
          <cell r="H434" t="str">
            <v>NA</v>
          </cell>
        </row>
        <row r="435">
          <cell r="A435" t="str">
            <v>3489</v>
          </cell>
          <cell r="B435" t="str">
            <v>Manufacturing</v>
          </cell>
          <cell r="C435" t="str">
            <v>NA</v>
          </cell>
          <cell r="F435" t="str">
            <v>3489</v>
          </cell>
          <cell r="G435" t="str">
            <v>Manufacturing</v>
          </cell>
          <cell r="H435" t="str">
            <v>NA</v>
          </cell>
        </row>
        <row r="436">
          <cell r="A436" t="str">
            <v>3491</v>
          </cell>
          <cell r="B436" t="str">
            <v>Manufacturing</v>
          </cell>
          <cell r="C436" t="str">
            <v>NA</v>
          </cell>
          <cell r="F436" t="str">
            <v>3491</v>
          </cell>
          <cell r="G436" t="str">
            <v>Manufacturing</v>
          </cell>
          <cell r="H436" t="str">
            <v>NA</v>
          </cell>
        </row>
        <row r="437">
          <cell r="A437" t="str">
            <v>3492</v>
          </cell>
          <cell r="B437" t="str">
            <v>Manufacturing</v>
          </cell>
          <cell r="C437" t="str">
            <v>NA</v>
          </cell>
          <cell r="F437" t="str">
            <v>3492</v>
          </cell>
          <cell r="G437" t="str">
            <v>Manufacturing</v>
          </cell>
          <cell r="H437" t="str">
            <v>NA</v>
          </cell>
        </row>
        <row r="438">
          <cell r="A438" t="str">
            <v>3493</v>
          </cell>
          <cell r="B438" t="str">
            <v>Manufacturing</v>
          </cell>
          <cell r="C438" t="str">
            <v>NA</v>
          </cell>
          <cell r="F438" t="str">
            <v>3493</v>
          </cell>
          <cell r="G438" t="str">
            <v>Manufacturing</v>
          </cell>
          <cell r="H438" t="str">
            <v>NA</v>
          </cell>
        </row>
        <row r="439">
          <cell r="A439" t="str">
            <v>3494</v>
          </cell>
          <cell r="B439" t="str">
            <v>Manufacturing</v>
          </cell>
          <cell r="C439" t="str">
            <v>NA</v>
          </cell>
          <cell r="F439" t="str">
            <v>3494</v>
          </cell>
          <cell r="G439" t="str">
            <v>Manufacturing</v>
          </cell>
          <cell r="H439" t="str">
            <v>NA</v>
          </cell>
        </row>
        <row r="440">
          <cell r="A440" t="str">
            <v>3495</v>
          </cell>
          <cell r="B440" t="str">
            <v>Manufacturing</v>
          </cell>
          <cell r="C440" t="str">
            <v>NA</v>
          </cell>
          <cell r="F440" t="str">
            <v>3495</v>
          </cell>
          <cell r="G440" t="str">
            <v>Manufacturing</v>
          </cell>
          <cell r="H440" t="str">
            <v>NA</v>
          </cell>
        </row>
        <row r="441">
          <cell r="A441" t="str">
            <v>3496</v>
          </cell>
          <cell r="B441" t="str">
            <v>Manufacturing</v>
          </cell>
          <cell r="C441" t="str">
            <v>NA</v>
          </cell>
          <cell r="F441" t="str">
            <v>3496</v>
          </cell>
          <cell r="G441" t="str">
            <v>Manufacturing</v>
          </cell>
          <cell r="H441" t="str">
            <v>NA</v>
          </cell>
        </row>
        <row r="442">
          <cell r="A442" t="str">
            <v>3497</v>
          </cell>
          <cell r="B442" t="str">
            <v>Manufacturing</v>
          </cell>
          <cell r="C442" t="str">
            <v>NA</v>
          </cell>
          <cell r="F442" t="str">
            <v>3497</v>
          </cell>
          <cell r="G442" t="str">
            <v>Manufacturing</v>
          </cell>
          <cell r="H442" t="str">
            <v>NA</v>
          </cell>
        </row>
        <row r="443">
          <cell r="A443" t="str">
            <v>3498</v>
          </cell>
          <cell r="B443" t="str">
            <v>Manufacturing</v>
          </cell>
          <cell r="C443" t="str">
            <v>NA</v>
          </cell>
          <cell r="F443" t="str">
            <v>3498</v>
          </cell>
          <cell r="G443" t="str">
            <v>Manufacturing</v>
          </cell>
          <cell r="H443" t="str">
            <v>NA</v>
          </cell>
        </row>
        <row r="444">
          <cell r="A444" t="str">
            <v>3499</v>
          </cell>
          <cell r="B444" t="str">
            <v>Manufacturing</v>
          </cell>
          <cell r="C444" t="str">
            <v>NA</v>
          </cell>
          <cell r="F444" t="str">
            <v>3499</v>
          </cell>
          <cell r="G444" t="str">
            <v>Manufacturing</v>
          </cell>
          <cell r="H444" t="str">
            <v>NA</v>
          </cell>
        </row>
        <row r="445">
          <cell r="A445" t="str">
            <v>3511</v>
          </cell>
          <cell r="B445" t="str">
            <v>Manufacturing</v>
          </cell>
          <cell r="C445" t="str">
            <v>NA</v>
          </cell>
          <cell r="F445" t="str">
            <v>3511</v>
          </cell>
          <cell r="G445" t="str">
            <v>Manufacturing</v>
          </cell>
          <cell r="H445" t="str">
            <v>NA</v>
          </cell>
        </row>
        <row r="446">
          <cell r="A446" t="str">
            <v>3519</v>
          </cell>
          <cell r="B446" t="str">
            <v>Manufacturing</v>
          </cell>
          <cell r="C446" t="str">
            <v>NA</v>
          </cell>
          <cell r="F446" t="str">
            <v>3519</v>
          </cell>
          <cell r="G446" t="str">
            <v>Manufacturing</v>
          </cell>
          <cell r="H446" t="str">
            <v>NA</v>
          </cell>
        </row>
        <row r="447">
          <cell r="A447" t="str">
            <v>3523</v>
          </cell>
          <cell r="B447" t="str">
            <v>Manufacturing</v>
          </cell>
          <cell r="C447" t="str">
            <v>NA</v>
          </cell>
          <cell r="F447" t="str">
            <v>3523</v>
          </cell>
          <cell r="G447" t="str">
            <v>Manufacturing</v>
          </cell>
          <cell r="H447" t="str">
            <v>NA</v>
          </cell>
        </row>
        <row r="448">
          <cell r="A448" t="str">
            <v>3524</v>
          </cell>
          <cell r="B448" t="str">
            <v>Manufacturing</v>
          </cell>
          <cell r="C448" t="str">
            <v>NA</v>
          </cell>
          <cell r="F448" t="str">
            <v>3524</v>
          </cell>
          <cell r="G448" t="str">
            <v>Manufacturing</v>
          </cell>
          <cell r="H448" t="str">
            <v>NA</v>
          </cell>
        </row>
        <row r="449">
          <cell r="A449" t="str">
            <v>3531</v>
          </cell>
          <cell r="B449" t="str">
            <v>Manufacturing</v>
          </cell>
          <cell r="C449" t="str">
            <v>NA</v>
          </cell>
          <cell r="F449" t="str">
            <v>3531</v>
          </cell>
          <cell r="G449" t="str">
            <v>Manufacturing</v>
          </cell>
          <cell r="H449" t="str">
            <v>NA</v>
          </cell>
        </row>
        <row r="450">
          <cell r="A450" t="str">
            <v>3532</v>
          </cell>
          <cell r="B450" t="str">
            <v>Manufacturing</v>
          </cell>
          <cell r="C450" t="str">
            <v>NA</v>
          </cell>
          <cell r="F450" t="str">
            <v>3532</v>
          </cell>
          <cell r="G450" t="str">
            <v>Manufacturing</v>
          </cell>
          <cell r="H450" t="str">
            <v>NA</v>
          </cell>
        </row>
        <row r="451">
          <cell r="A451" t="str">
            <v>3533</v>
          </cell>
          <cell r="B451" t="str">
            <v>Manufacturing</v>
          </cell>
          <cell r="C451" t="str">
            <v>NA</v>
          </cell>
          <cell r="F451" t="str">
            <v>3533</v>
          </cell>
          <cell r="G451" t="str">
            <v>Manufacturing</v>
          </cell>
          <cell r="H451" t="str">
            <v>NA</v>
          </cell>
        </row>
        <row r="452">
          <cell r="A452" t="str">
            <v>3534</v>
          </cell>
          <cell r="B452" t="str">
            <v>Manufacturing</v>
          </cell>
          <cell r="C452" t="str">
            <v>NA</v>
          </cell>
          <cell r="F452" t="str">
            <v>3534</v>
          </cell>
          <cell r="G452" t="str">
            <v>Manufacturing</v>
          </cell>
          <cell r="H452" t="str">
            <v>NA</v>
          </cell>
        </row>
        <row r="453">
          <cell r="A453" t="str">
            <v>3535</v>
          </cell>
          <cell r="B453" t="str">
            <v>Manufacturing</v>
          </cell>
          <cell r="C453" t="str">
            <v>NA</v>
          </cell>
          <cell r="F453" t="str">
            <v>3535</v>
          </cell>
          <cell r="G453" t="str">
            <v>Manufacturing</v>
          </cell>
          <cell r="H453" t="str">
            <v>NA</v>
          </cell>
        </row>
        <row r="454">
          <cell r="A454" t="str">
            <v>3536</v>
          </cell>
          <cell r="B454" t="str">
            <v>Manufacturing</v>
          </cell>
          <cell r="C454" t="str">
            <v>NA</v>
          </cell>
          <cell r="F454" t="str">
            <v>3536</v>
          </cell>
          <cell r="G454" t="str">
            <v>Manufacturing</v>
          </cell>
          <cell r="H454" t="str">
            <v>NA</v>
          </cell>
        </row>
        <row r="455">
          <cell r="A455" t="str">
            <v>3537</v>
          </cell>
          <cell r="B455" t="str">
            <v>Manufacturing</v>
          </cell>
          <cell r="C455" t="str">
            <v>NA</v>
          </cell>
          <cell r="F455" t="str">
            <v>3537</v>
          </cell>
          <cell r="G455" t="str">
            <v>Manufacturing</v>
          </cell>
          <cell r="H455" t="str">
            <v>NA</v>
          </cell>
        </row>
        <row r="456">
          <cell r="A456" t="str">
            <v>3541</v>
          </cell>
          <cell r="B456" t="str">
            <v>Manufacturing</v>
          </cell>
          <cell r="C456" t="str">
            <v>NA</v>
          </cell>
          <cell r="F456" t="str">
            <v>3541</v>
          </cell>
          <cell r="G456" t="str">
            <v>Manufacturing</v>
          </cell>
          <cell r="H456" t="str">
            <v>NA</v>
          </cell>
        </row>
        <row r="457">
          <cell r="A457" t="str">
            <v>3542</v>
          </cell>
          <cell r="B457" t="str">
            <v>Manufacturing</v>
          </cell>
          <cell r="C457" t="str">
            <v>NA</v>
          </cell>
          <cell r="F457" t="str">
            <v>3542</v>
          </cell>
          <cell r="G457" t="str">
            <v>Manufacturing</v>
          </cell>
          <cell r="H457" t="str">
            <v>NA</v>
          </cell>
        </row>
        <row r="458">
          <cell r="A458" t="str">
            <v>3543</v>
          </cell>
          <cell r="B458" t="str">
            <v>Manufacturing</v>
          </cell>
          <cell r="C458" t="str">
            <v>NA</v>
          </cell>
          <cell r="F458" t="str">
            <v>3543</v>
          </cell>
          <cell r="G458" t="str">
            <v>Manufacturing</v>
          </cell>
          <cell r="H458" t="str">
            <v>NA</v>
          </cell>
        </row>
        <row r="459">
          <cell r="A459" t="str">
            <v>3544</v>
          </cell>
          <cell r="B459" t="str">
            <v>Manufacturing</v>
          </cell>
          <cell r="C459" t="str">
            <v>NA</v>
          </cell>
          <cell r="F459" t="str">
            <v>3544</v>
          </cell>
          <cell r="G459" t="str">
            <v>Manufacturing</v>
          </cell>
          <cell r="H459" t="str">
            <v>NA</v>
          </cell>
        </row>
        <row r="460">
          <cell r="A460" t="str">
            <v>3545</v>
          </cell>
          <cell r="B460" t="str">
            <v>Manufacturing</v>
          </cell>
          <cell r="C460" t="str">
            <v>NA</v>
          </cell>
          <cell r="F460" t="str">
            <v>3545</v>
          </cell>
          <cell r="G460" t="str">
            <v>Manufacturing</v>
          </cell>
          <cell r="H460" t="str">
            <v>NA</v>
          </cell>
        </row>
        <row r="461">
          <cell r="A461" t="str">
            <v>3546</v>
          </cell>
          <cell r="B461" t="str">
            <v>Manufacturing</v>
          </cell>
          <cell r="C461" t="str">
            <v>NA</v>
          </cell>
          <cell r="F461" t="str">
            <v>3546</v>
          </cell>
          <cell r="G461" t="str">
            <v>Manufacturing</v>
          </cell>
          <cell r="H461" t="str">
            <v>NA</v>
          </cell>
        </row>
        <row r="462">
          <cell r="A462" t="str">
            <v>3547</v>
          </cell>
          <cell r="B462" t="str">
            <v>Manufacturing</v>
          </cell>
          <cell r="C462" t="str">
            <v>NA</v>
          </cell>
          <cell r="F462" t="str">
            <v>3547</v>
          </cell>
          <cell r="G462" t="str">
            <v>Manufacturing</v>
          </cell>
          <cell r="H462" t="str">
            <v>NA</v>
          </cell>
        </row>
        <row r="463">
          <cell r="A463" t="str">
            <v>3548</v>
          </cell>
          <cell r="B463" t="str">
            <v>Manufacturing</v>
          </cell>
          <cell r="C463" t="str">
            <v>NA</v>
          </cell>
          <cell r="F463" t="str">
            <v>3548</v>
          </cell>
          <cell r="G463" t="str">
            <v>Manufacturing</v>
          </cell>
          <cell r="H463" t="str">
            <v>NA</v>
          </cell>
        </row>
        <row r="464">
          <cell r="A464" t="str">
            <v>3549</v>
          </cell>
          <cell r="B464" t="str">
            <v>Manufacturing</v>
          </cell>
          <cell r="C464" t="str">
            <v>NA</v>
          </cell>
          <cell r="F464" t="str">
            <v>3549</v>
          </cell>
          <cell r="G464" t="str">
            <v>Manufacturing</v>
          </cell>
          <cell r="H464" t="str">
            <v>NA</v>
          </cell>
        </row>
        <row r="465">
          <cell r="A465" t="str">
            <v>3552</v>
          </cell>
          <cell r="B465" t="str">
            <v>Manufacturing</v>
          </cell>
          <cell r="C465" t="str">
            <v>NA</v>
          </cell>
          <cell r="F465" t="str">
            <v>3552</v>
          </cell>
          <cell r="G465" t="str">
            <v>Manufacturing</v>
          </cell>
          <cell r="H465" t="str">
            <v>NA</v>
          </cell>
        </row>
        <row r="466">
          <cell r="A466" t="str">
            <v>3553</v>
          </cell>
          <cell r="B466" t="str">
            <v>Manufacturing</v>
          </cell>
          <cell r="C466" t="str">
            <v>NA</v>
          </cell>
          <cell r="F466" t="str">
            <v>3553</v>
          </cell>
          <cell r="G466" t="str">
            <v>Manufacturing</v>
          </cell>
          <cell r="H466" t="str">
            <v>NA</v>
          </cell>
        </row>
        <row r="467">
          <cell r="A467" t="str">
            <v>3554</v>
          </cell>
          <cell r="B467" t="str">
            <v>Manufacturing</v>
          </cell>
          <cell r="C467" t="str">
            <v>NA</v>
          </cell>
          <cell r="F467" t="str">
            <v>3554</v>
          </cell>
          <cell r="G467" t="str">
            <v>Manufacturing</v>
          </cell>
          <cell r="H467" t="str">
            <v>NA</v>
          </cell>
        </row>
        <row r="468">
          <cell r="A468" t="str">
            <v>3555</v>
          </cell>
          <cell r="B468" t="str">
            <v>Manufacturing</v>
          </cell>
          <cell r="C468" t="str">
            <v>NA</v>
          </cell>
          <cell r="F468" t="str">
            <v>3555</v>
          </cell>
          <cell r="G468" t="str">
            <v>Manufacturing</v>
          </cell>
          <cell r="H468" t="str">
            <v>NA</v>
          </cell>
        </row>
        <row r="469">
          <cell r="A469" t="str">
            <v>3556</v>
          </cell>
          <cell r="B469" t="str">
            <v>Manufacturing</v>
          </cell>
          <cell r="C469" t="str">
            <v>NA</v>
          </cell>
          <cell r="F469" t="str">
            <v>3556</v>
          </cell>
          <cell r="G469" t="str">
            <v>Manufacturing</v>
          </cell>
          <cell r="H469" t="str">
            <v>NA</v>
          </cell>
        </row>
        <row r="470">
          <cell r="A470" t="str">
            <v>3559</v>
          </cell>
          <cell r="B470" t="str">
            <v>Manufacturing</v>
          </cell>
          <cell r="C470" t="str">
            <v>NA</v>
          </cell>
          <cell r="F470" t="str">
            <v>3559</v>
          </cell>
          <cell r="G470" t="str">
            <v>Manufacturing</v>
          </cell>
          <cell r="H470" t="str">
            <v>NA</v>
          </cell>
        </row>
        <row r="471">
          <cell r="A471" t="str">
            <v>3561</v>
          </cell>
          <cell r="B471" t="str">
            <v>Manufacturing</v>
          </cell>
          <cell r="C471" t="str">
            <v>NA</v>
          </cell>
          <cell r="F471" t="str">
            <v>3561</v>
          </cell>
          <cell r="G471" t="str">
            <v>Manufacturing</v>
          </cell>
          <cell r="H471" t="str">
            <v>NA</v>
          </cell>
        </row>
        <row r="472">
          <cell r="A472" t="str">
            <v>3562</v>
          </cell>
          <cell r="B472" t="str">
            <v>Manufacturing</v>
          </cell>
          <cell r="C472" t="str">
            <v>NA</v>
          </cell>
          <cell r="F472" t="str">
            <v>3562</v>
          </cell>
          <cell r="G472" t="str">
            <v>Manufacturing</v>
          </cell>
          <cell r="H472" t="str">
            <v>NA</v>
          </cell>
        </row>
        <row r="473">
          <cell r="A473" t="str">
            <v>3563</v>
          </cell>
          <cell r="B473" t="str">
            <v>Manufacturing</v>
          </cell>
          <cell r="C473" t="str">
            <v>NA</v>
          </cell>
          <cell r="F473" t="str">
            <v>3563</v>
          </cell>
          <cell r="G473" t="str">
            <v>Manufacturing</v>
          </cell>
          <cell r="H473" t="str">
            <v>NA</v>
          </cell>
        </row>
        <row r="474">
          <cell r="A474" t="str">
            <v>3564</v>
          </cell>
          <cell r="B474" t="str">
            <v>Manufacturing</v>
          </cell>
          <cell r="C474" t="str">
            <v>NA</v>
          </cell>
          <cell r="F474" t="str">
            <v>3564</v>
          </cell>
          <cell r="G474" t="str">
            <v>Manufacturing</v>
          </cell>
          <cell r="H474" t="str">
            <v>NA</v>
          </cell>
        </row>
        <row r="475">
          <cell r="A475" t="str">
            <v>3565</v>
          </cell>
          <cell r="B475" t="str">
            <v>Manufacturing</v>
          </cell>
          <cell r="C475" t="str">
            <v>NA</v>
          </cell>
          <cell r="F475" t="str">
            <v>3565</v>
          </cell>
          <cell r="G475" t="str">
            <v>Manufacturing</v>
          </cell>
          <cell r="H475" t="str">
            <v>NA</v>
          </cell>
        </row>
        <row r="476">
          <cell r="A476" t="str">
            <v>3566</v>
          </cell>
          <cell r="B476" t="str">
            <v>Manufacturing</v>
          </cell>
          <cell r="C476" t="str">
            <v>NA</v>
          </cell>
          <cell r="F476" t="str">
            <v>3566</v>
          </cell>
          <cell r="G476" t="str">
            <v>Manufacturing</v>
          </cell>
          <cell r="H476" t="str">
            <v>NA</v>
          </cell>
        </row>
        <row r="477">
          <cell r="A477" t="str">
            <v>3567</v>
          </cell>
          <cell r="B477" t="str">
            <v>Manufacturing</v>
          </cell>
          <cell r="C477" t="str">
            <v>NA</v>
          </cell>
          <cell r="F477" t="str">
            <v>3567</v>
          </cell>
          <cell r="G477" t="str">
            <v>Manufacturing</v>
          </cell>
          <cell r="H477" t="str">
            <v>NA</v>
          </cell>
        </row>
        <row r="478">
          <cell r="A478" t="str">
            <v>3568</v>
          </cell>
          <cell r="B478" t="str">
            <v>Manufacturing</v>
          </cell>
          <cell r="C478" t="str">
            <v>NA</v>
          </cell>
          <cell r="F478" t="str">
            <v>3568</v>
          </cell>
          <cell r="G478" t="str">
            <v>Manufacturing</v>
          </cell>
          <cell r="H478" t="str">
            <v>NA</v>
          </cell>
        </row>
        <row r="479">
          <cell r="A479" t="str">
            <v>3569</v>
          </cell>
          <cell r="B479" t="str">
            <v>Manufacturing</v>
          </cell>
          <cell r="C479" t="str">
            <v>NA</v>
          </cell>
          <cell r="F479" t="str">
            <v>3569</v>
          </cell>
          <cell r="G479" t="str">
            <v>Manufacturing</v>
          </cell>
          <cell r="H479" t="str">
            <v>NA</v>
          </cell>
        </row>
        <row r="480">
          <cell r="A480" t="str">
            <v>3571</v>
          </cell>
          <cell r="B480" t="str">
            <v>Manufacturing</v>
          </cell>
          <cell r="C480" t="str">
            <v>NA</v>
          </cell>
          <cell r="F480" t="str">
            <v>3571</v>
          </cell>
          <cell r="G480" t="str">
            <v>Manufacturing</v>
          </cell>
          <cell r="H480" t="str">
            <v>NA</v>
          </cell>
        </row>
        <row r="481">
          <cell r="A481" t="str">
            <v>3572</v>
          </cell>
          <cell r="B481" t="str">
            <v>Manufacturing</v>
          </cell>
          <cell r="C481" t="str">
            <v>NA</v>
          </cell>
          <cell r="F481" t="str">
            <v>3572</v>
          </cell>
          <cell r="G481" t="str">
            <v>Manufacturing</v>
          </cell>
          <cell r="H481" t="str">
            <v>NA</v>
          </cell>
        </row>
        <row r="482">
          <cell r="A482" t="str">
            <v>3575</v>
          </cell>
          <cell r="B482" t="str">
            <v>Manufacturing</v>
          </cell>
          <cell r="C482" t="str">
            <v>NA</v>
          </cell>
          <cell r="F482" t="str">
            <v>3575</v>
          </cell>
          <cell r="G482" t="str">
            <v>Manufacturing</v>
          </cell>
          <cell r="H482" t="str">
            <v>NA</v>
          </cell>
        </row>
        <row r="483">
          <cell r="A483" t="str">
            <v>3577</v>
          </cell>
          <cell r="B483" t="str">
            <v>Manufacturing</v>
          </cell>
          <cell r="C483" t="str">
            <v>NA</v>
          </cell>
          <cell r="F483" t="str">
            <v>3577</v>
          </cell>
          <cell r="G483" t="str">
            <v>Manufacturing</v>
          </cell>
          <cell r="H483" t="str">
            <v>NA</v>
          </cell>
        </row>
        <row r="484">
          <cell r="A484" t="str">
            <v>3578</v>
          </cell>
          <cell r="B484" t="str">
            <v>Manufacturing</v>
          </cell>
          <cell r="C484" t="str">
            <v>NA</v>
          </cell>
          <cell r="F484" t="str">
            <v>3578</v>
          </cell>
          <cell r="G484" t="str">
            <v>Manufacturing</v>
          </cell>
          <cell r="H484" t="str">
            <v>NA</v>
          </cell>
        </row>
        <row r="485">
          <cell r="A485" t="str">
            <v>3579</v>
          </cell>
          <cell r="B485" t="str">
            <v>Manufacturing</v>
          </cell>
          <cell r="C485" t="str">
            <v>NA</v>
          </cell>
          <cell r="F485" t="str">
            <v>3579</v>
          </cell>
          <cell r="G485" t="str">
            <v>Manufacturing</v>
          </cell>
          <cell r="H485" t="str">
            <v>NA</v>
          </cell>
        </row>
        <row r="486">
          <cell r="A486" t="str">
            <v>3581</v>
          </cell>
          <cell r="B486" t="str">
            <v>Manufacturing</v>
          </cell>
          <cell r="C486" t="str">
            <v>NA</v>
          </cell>
          <cell r="F486" t="str">
            <v>3581</v>
          </cell>
          <cell r="G486" t="str">
            <v>Manufacturing</v>
          </cell>
          <cell r="H486" t="str">
            <v>NA</v>
          </cell>
        </row>
        <row r="487">
          <cell r="A487" t="str">
            <v>3582</v>
          </cell>
          <cell r="B487" t="str">
            <v>Manufacturing</v>
          </cell>
          <cell r="C487" t="str">
            <v>NA</v>
          </cell>
          <cell r="F487" t="str">
            <v>3582</v>
          </cell>
          <cell r="G487" t="str">
            <v>Manufacturing</v>
          </cell>
          <cell r="H487" t="str">
            <v>NA</v>
          </cell>
        </row>
        <row r="488">
          <cell r="A488" t="str">
            <v>3585</v>
          </cell>
          <cell r="B488" t="str">
            <v>Manufacturing</v>
          </cell>
          <cell r="C488" t="str">
            <v>NA</v>
          </cell>
          <cell r="F488" t="str">
            <v>3585</v>
          </cell>
          <cell r="G488" t="str">
            <v>Manufacturing</v>
          </cell>
          <cell r="H488" t="str">
            <v>NA</v>
          </cell>
        </row>
        <row r="489">
          <cell r="A489" t="str">
            <v>3586</v>
          </cell>
          <cell r="B489" t="str">
            <v>Manufacturing</v>
          </cell>
          <cell r="C489" t="str">
            <v>NA</v>
          </cell>
          <cell r="F489" t="str">
            <v>3586</v>
          </cell>
          <cell r="G489" t="str">
            <v>Manufacturing</v>
          </cell>
          <cell r="H489" t="str">
            <v>NA</v>
          </cell>
        </row>
        <row r="490">
          <cell r="A490" t="str">
            <v>3589</v>
          </cell>
          <cell r="B490" t="str">
            <v>Manufacturing</v>
          </cell>
          <cell r="C490" t="str">
            <v>NA</v>
          </cell>
          <cell r="F490" t="str">
            <v>3589</v>
          </cell>
          <cell r="G490" t="str">
            <v>Manufacturing</v>
          </cell>
          <cell r="H490" t="str">
            <v>NA</v>
          </cell>
        </row>
        <row r="491">
          <cell r="A491" t="str">
            <v>3592</v>
          </cell>
          <cell r="B491" t="str">
            <v>Manufacturing</v>
          </cell>
          <cell r="C491" t="str">
            <v>NA</v>
          </cell>
          <cell r="F491" t="str">
            <v>3592</v>
          </cell>
          <cell r="G491" t="str">
            <v>Manufacturing</v>
          </cell>
          <cell r="H491" t="str">
            <v>NA</v>
          </cell>
        </row>
        <row r="492">
          <cell r="A492" t="str">
            <v>3593</v>
          </cell>
          <cell r="B492" t="str">
            <v>Manufacturing</v>
          </cell>
          <cell r="C492" t="str">
            <v>NA</v>
          </cell>
          <cell r="F492" t="str">
            <v>3593</v>
          </cell>
          <cell r="G492" t="str">
            <v>Manufacturing</v>
          </cell>
          <cell r="H492" t="str">
            <v>NA</v>
          </cell>
        </row>
        <row r="493">
          <cell r="A493" t="str">
            <v>3594</v>
          </cell>
          <cell r="B493" t="str">
            <v>Manufacturing</v>
          </cell>
          <cell r="C493" t="str">
            <v>NA</v>
          </cell>
          <cell r="F493" t="str">
            <v>3594</v>
          </cell>
          <cell r="G493" t="str">
            <v>Manufacturing</v>
          </cell>
          <cell r="H493" t="str">
            <v>NA</v>
          </cell>
        </row>
        <row r="494">
          <cell r="A494" t="str">
            <v>3596</v>
          </cell>
          <cell r="B494" t="str">
            <v>Manufacturing</v>
          </cell>
          <cell r="C494" t="str">
            <v>NA</v>
          </cell>
          <cell r="F494" t="str">
            <v>3596</v>
          </cell>
          <cell r="G494" t="str">
            <v>Manufacturing</v>
          </cell>
          <cell r="H494" t="str">
            <v>NA</v>
          </cell>
        </row>
        <row r="495">
          <cell r="A495" t="str">
            <v>3599</v>
          </cell>
          <cell r="B495" t="str">
            <v>Manufacturing</v>
          </cell>
          <cell r="C495" t="str">
            <v>NA</v>
          </cell>
          <cell r="F495" t="str">
            <v>3599</v>
          </cell>
          <cell r="G495" t="str">
            <v>Manufacturing</v>
          </cell>
          <cell r="H495" t="str">
            <v>NA</v>
          </cell>
        </row>
        <row r="496">
          <cell r="A496" t="str">
            <v>3612</v>
          </cell>
          <cell r="B496" t="str">
            <v>Manufacturing</v>
          </cell>
          <cell r="C496" t="str">
            <v>NA</v>
          </cell>
          <cell r="F496" t="str">
            <v>3612</v>
          </cell>
          <cell r="G496" t="str">
            <v>Manufacturing</v>
          </cell>
          <cell r="H496" t="str">
            <v>NA</v>
          </cell>
        </row>
        <row r="497">
          <cell r="A497" t="str">
            <v>3613</v>
          </cell>
          <cell r="B497" t="str">
            <v>Manufacturing</v>
          </cell>
          <cell r="C497" t="str">
            <v>NA</v>
          </cell>
          <cell r="F497" t="str">
            <v>3613</v>
          </cell>
          <cell r="G497" t="str">
            <v>Manufacturing</v>
          </cell>
          <cell r="H497" t="str">
            <v>NA</v>
          </cell>
        </row>
        <row r="498">
          <cell r="A498" t="str">
            <v>3621</v>
          </cell>
          <cell r="B498" t="str">
            <v>Manufacturing</v>
          </cell>
          <cell r="C498" t="str">
            <v>NA</v>
          </cell>
          <cell r="F498" t="str">
            <v>3621</v>
          </cell>
          <cell r="G498" t="str">
            <v>Manufacturing</v>
          </cell>
          <cell r="H498" t="str">
            <v>NA</v>
          </cell>
        </row>
        <row r="499">
          <cell r="A499" t="str">
            <v>3624</v>
          </cell>
          <cell r="B499" t="str">
            <v>Manufacturing</v>
          </cell>
          <cell r="C499" t="str">
            <v>NA</v>
          </cell>
          <cell r="F499" t="str">
            <v>3624</v>
          </cell>
          <cell r="G499" t="str">
            <v>Manufacturing</v>
          </cell>
          <cell r="H499" t="str">
            <v>NA</v>
          </cell>
        </row>
        <row r="500">
          <cell r="A500" t="str">
            <v>3625</v>
          </cell>
          <cell r="B500" t="str">
            <v>Manufacturing</v>
          </cell>
          <cell r="C500" t="str">
            <v>NA</v>
          </cell>
          <cell r="F500" t="str">
            <v>3625</v>
          </cell>
          <cell r="G500" t="str">
            <v>Manufacturing</v>
          </cell>
          <cell r="H500" t="str">
            <v>NA</v>
          </cell>
        </row>
        <row r="501">
          <cell r="A501" t="str">
            <v>3629</v>
          </cell>
          <cell r="B501" t="str">
            <v>Manufacturing</v>
          </cell>
          <cell r="C501" t="str">
            <v>NA</v>
          </cell>
          <cell r="F501" t="str">
            <v>3629</v>
          </cell>
          <cell r="G501" t="str">
            <v>Manufacturing</v>
          </cell>
          <cell r="H501" t="str">
            <v>NA</v>
          </cell>
        </row>
        <row r="502">
          <cell r="A502" t="str">
            <v>3631</v>
          </cell>
          <cell r="B502" t="str">
            <v>Manufacturing</v>
          </cell>
          <cell r="C502" t="str">
            <v>NA</v>
          </cell>
          <cell r="F502" t="str">
            <v>3631</v>
          </cell>
          <cell r="G502" t="str">
            <v>Manufacturing</v>
          </cell>
          <cell r="H502" t="str">
            <v>NA</v>
          </cell>
        </row>
        <row r="503">
          <cell r="A503" t="str">
            <v>3632</v>
          </cell>
          <cell r="B503" t="str">
            <v>Manufacturing</v>
          </cell>
          <cell r="C503" t="str">
            <v>NA</v>
          </cell>
          <cell r="F503" t="str">
            <v>3632</v>
          </cell>
          <cell r="G503" t="str">
            <v>Manufacturing</v>
          </cell>
          <cell r="H503" t="str">
            <v>NA</v>
          </cell>
        </row>
        <row r="504">
          <cell r="A504" t="str">
            <v>3633</v>
          </cell>
          <cell r="B504" t="str">
            <v>Manufacturing</v>
          </cell>
          <cell r="C504" t="str">
            <v>NA</v>
          </cell>
          <cell r="F504" t="str">
            <v>3633</v>
          </cell>
          <cell r="G504" t="str">
            <v>Manufacturing</v>
          </cell>
          <cell r="H504" t="str">
            <v>NA</v>
          </cell>
        </row>
        <row r="505">
          <cell r="A505" t="str">
            <v>3634</v>
          </cell>
          <cell r="B505" t="str">
            <v>Manufacturing</v>
          </cell>
          <cell r="C505" t="str">
            <v>NA</v>
          </cell>
          <cell r="F505" t="str">
            <v>3634</v>
          </cell>
          <cell r="G505" t="str">
            <v>Manufacturing</v>
          </cell>
          <cell r="H505" t="str">
            <v>NA</v>
          </cell>
        </row>
        <row r="506">
          <cell r="A506" t="str">
            <v>3635</v>
          </cell>
          <cell r="B506" t="str">
            <v>Manufacturing</v>
          </cell>
          <cell r="C506" t="str">
            <v>NA</v>
          </cell>
          <cell r="F506" t="str">
            <v>3635</v>
          </cell>
          <cell r="G506" t="str">
            <v>Manufacturing</v>
          </cell>
          <cell r="H506" t="str">
            <v>NA</v>
          </cell>
        </row>
        <row r="507">
          <cell r="A507" t="str">
            <v>3636</v>
          </cell>
          <cell r="B507" t="str">
            <v>Manufacturing</v>
          </cell>
          <cell r="C507" t="str">
            <v>NA</v>
          </cell>
          <cell r="F507" t="str">
            <v>3636</v>
          </cell>
          <cell r="G507" t="str">
            <v>Manufacturing</v>
          </cell>
          <cell r="H507" t="str">
            <v>NA</v>
          </cell>
        </row>
        <row r="508">
          <cell r="A508" t="str">
            <v>3639</v>
          </cell>
          <cell r="B508" t="str">
            <v>Manufacturing</v>
          </cell>
          <cell r="C508" t="str">
            <v>NA</v>
          </cell>
          <cell r="F508" t="str">
            <v>3639</v>
          </cell>
          <cell r="G508" t="str">
            <v>Manufacturing</v>
          </cell>
          <cell r="H508" t="str">
            <v>NA</v>
          </cell>
        </row>
        <row r="509">
          <cell r="A509" t="str">
            <v>3641</v>
          </cell>
          <cell r="B509" t="str">
            <v>Manufacturing</v>
          </cell>
          <cell r="C509" t="str">
            <v>NA</v>
          </cell>
          <cell r="F509" t="str">
            <v>3641</v>
          </cell>
          <cell r="G509" t="str">
            <v>Manufacturing</v>
          </cell>
          <cell r="H509" t="str">
            <v>NA</v>
          </cell>
        </row>
        <row r="510">
          <cell r="A510" t="str">
            <v>3643</v>
          </cell>
          <cell r="B510" t="str">
            <v>Manufacturing</v>
          </cell>
          <cell r="C510" t="str">
            <v>NA</v>
          </cell>
          <cell r="F510" t="str">
            <v>3643</v>
          </cell>
          <cell r="G510" t="str">
            <v>Manufacturing</v>
          </cell>
          <cell r="H510" t="str">
            <v>NA</v>
          </cell>
        </row>
        <row r="511">
          <cell r="A511" t="str">
            <v>3644</v>
          </cell>
          <cell r="B511" t="str">
            <v>Manufacturing</v>
          </cell>
          <cell r="C511" t="str">
            <v>NA</v>
          </cell>
          <cell r="F511" t="str">
            <v>3644</v>
          </cell>
          <cell r="G511" t="str">
            <v>Manufacturing</v>
          </cell>
          <cell r="H511" t="str">
            <v>NA</v>
          </cell>
        </row>
        <row r="512">
          <cell r="A512" t="str">
            <v>3645</v>
          </cell>
          <cell r="B512" t="str">
            <v>Manufacturing</v>
          </cell>
          <cell r="C512" t="str">
            <v>NA</v>
          </cell>
          <cell r="F512" t="str">
            <v>3645</v>
          </cell>
          <cell r="G512" t="str">
            <v>Manufacturing</v>
          </cell>
          <cell r="H512" t="str">
            <v>NA</v>
          </cell>
        </row>
        <row r="513">
          <cell r="A513" t="str">
            <v>3646</v>
          </cell>
          <cell r="B513" t="str">
            <v>Manufacturing</v>
          </cell>
          <cell r="C513" t="str">
            <v>NA</v>
          </cell>
          <cell r="F513" t="str">
            <v>3646</v>
          </cell>
          <cell r="G513" t="str">
            <v>Manufacturing</v>
          </cell>
          <cell r="H513" t="str">
            <v>NA</v>
          </cell>
        </row>
        <row r="514">
          <cell r="A514" t="str">
            <v>3647</v>
          </cell>
          <cell r="B514" t="str">
            <v>Manufacturing</v>
          </cell>
          <cell r="C514" t="str">
            <v>NA</v>
          </cell>
          <cell r="F514" t="str">
            <v>3647</v>
          </cell>
          <cell r="G514" t="str">
            <v>Manufacturing</v>
          </cell>
          <cell r="H514" t="str">
            <v>NA</v>
          </cell>
        </row>
        <row r="515">
          <cell r="A515" t="str">
            <v>3648</v>
          </cell>
          <cell r="B515" t="str">
            <v>Manufacturing</v>
          </cell>
          <cell r="C515" t="str">
            <v>NA</v>
          </cell>
          <cell r="F515" t="str">
            <v>3648</v>
          </cell>
          <cell r="G515" t="str">
            <v>Manufacturing</v>
          </cell>
          <cell r="H515" t="str">
            <v>NA</v>
          </cell>
        </row>
        <row r="516">
          <cell r="A516" t="str">
            <v>3651</v>
          </cell>
          <cell r="B516" t="str">
            <v>Manufacturing</v>
          </cell>
          <cell r="C516" t="str">
            <v>NA</v>
          </cell>
          <cell r="F516" t="str">
            <v>3651</v>
          </cell>
          <cell r="G516" t="str">
            <v>Manufacturing</v>
          </cell>
          <cell r="H516" t="str">
            <v>NA</v>
          </cell>
        </row>
        <row r="517">
          <cell r="A517" t="str">
            <v>3652</v>
          </cell>
          <cell r="B517" t="str">
            <v>Manufacturing</v>
          </cell>
          <cell r="C517" t="str">
            <v>NA</v>
          </cell>
          <cell r="F517" t="str">
            <v>3652</v>
          </cell>
          <cell r="G517" t="str">
            <v>Manufacturing</v>
          </cell>
          <cell r="H517" t="str">
            <v>NA</v>
          </cell>
        </row>
        <row r="518">
          <cell r="A518" t="str">
            <v>3661</v>
          </cell>
          <cell r="B518" t="str">
            <v>Manufacturing</v>
          </cell>
          <cell r="C518" t="str">
            <v>NA</v>
          </cell>
          <cell r="F518" t="str">
            <v>3661</v>
          </cell>
          <cell r="G518" t="str">
            <v>Manufacturing</v>
          </cell>
          <cell r="H518" t="str">
            <v>NA</v>
          </cell>
        </row>
        <row r="519">
          <cell r="A519" t="str">
            <v>3663</v>
          </cell>
          <cell r="B519" t="str">
            <v>Manufacturing</v>
          </cell>
          <cell r="C519" t="str">
            <v>NA</v>
          </cell>
          <cell r="F519" t="str">
            <v>3663</v>
          </cell>
          <cell r="G519" t="str">
            <v>Manufacturing</v>
          </cell>
          <cell r="H519" t="str">
            <v>NA</v>
          </cell>
        </row>
        <row r="520">
          <cell r="A520" t="str">
            <v>3669</v>
          </cell>
          <cell r="B520" t="str">
            <v>Manufacturing</v>
          </cell>
          <cell r="C520" t="str">
            <v>NA</v>
          </cell>
          <cell r="F520" t="str">
            <v>3669</v>
          </cell>
          <cell r="G520" t="str">
            <v>Manufacturing</v>
          </cell>
          <cell r="H520" t="str">
            <v>NA</v>
          </cell>
        </row>
        <row r="521">
          <cell r="A521" t="str">
            <v>3671</v>
          </cell>
          <cell r="B521" t="str">
            <v>Manufacturing</v>
          </cell>
          <cell r="C521" t="str">
            <v>NA</v>
          </cell>
          <cell r="F521" t="str">
            <v>3671</v>
          </cell>
          <cell r="G521" t="str">
            <v>Manufacturing</v>
          </cell>
          <cell r="H521" t="str">
            <v>NA</v>
          </cell>
        </row>
        <row r="522">
          <cell r="A522" t="str">
            <v>3672</v>
          </cell>
          <cell r="B522" t="str">
            <v>Manufacturing</v>
          </cell>
          <cell r="C522" t="str">
            <v>NA</v>
          </cell>
          <cell r="F522" t="str">
            <v>3672</v>
          </cell>
          <cell r="G522" t="str">
            <v>Manufacturing</v>
          </cell>
          <cell r="H522" t="str">
            <v>NA</v>
          </cell>
        </row>
        <row r="523">
          <cell r="A523" t="str">
            <v>3674</v>
          </cell>
          <cell r="B523" t="str">
            <v>Manufacturing</v>
          </cell>
          <cell r="C523" t="str">
            <v>NA</v>
          </cell>
          <cell r="F523" t="str">
            <v>3674</v>
          </cell>
          <cell r="G523" t="str">
            <v>Manufacturing</v>
          </cell>
          <cell r="H523" t="str">
            <v>NA</v>
          </cell>
        </row>
        <row r="524">
          <cell r="A524" t="str">
            <v>3675</v>
          </cell>
          <cell r="B524" t="str">
            <v>Manufacturing</v>
          </cell>
          <cell r="C524" t="str">
            <v>NA</v>
          </cell>
          <cell r="F524" t="str">
            <v>3675</v>
          </cell>
          <cell r="G524" t="str">
            <v>Manufacturing</v>
          </cell>
          <cell r="H524" t="str">
            <v>NA</v>
          </cell>
        </row>
        <row r="525">
          <cell r="A525" t="str">
            <v>3676</v>
          </cell>
          <cell r="B525" t="str">
            <v>Manufacturing</v>
          </cell>
          <cell r="C525" t="str">
            <v>NA</v>
          </cell>
          <cell r="F525" t="str">
            <v>3676</v>
          </cell>
          <cell r="G525" t="str">
            <v>Manufacturing</v>
          </cell>
          <cell r="H525" t="str">
            <v>NA</v>
          </cell>
        </row>
        <row r="526">
          <cell r="A526" t="str">
            <v>3677</v>
          </cell>
          <cell r="B526" t="str">
            <v>Manufacturing</v>
          </cell>
          <cell r="C526" t="str">
            <v>NA</v>
          </cell>
          <cell r="F526" t="str">
            <v>3677</v>
          </cell>
          <cell r="G526" t="str">
            <v>Manufacturing</v>
          </cell>
          <cell r="H526" t="str">
            <v>NA</v>
          </cell>
        </row>
        <row r="527">
          <cell r="A527" t="str">
            <v>3678</v>
          </cell>
          <cell r="B527" t="str">
            <v>Manufacturing</v>
          </cell>
          <cell r="C527" t="str">
            <v>NA</v>
          </cell>
          <cell r="F527" t="str">
            <v>3678</v>
          </cell>
          <cell r="G527" t="str">
            <v>Manufacturing</v>
          </cell>
          <cell r="H527" t="str">
            <v>NA</v>
          </cell>
        </row>
        <row r="528">
          <cell r="A528" t="str">
            <v>3679</v>
          </cell>
          <cell r="B528" t="str">
            <v>Manufacturing</v>
          </cell>
          <cell r="C528" t="str">
            <v>NA</v>
          </cell>
          <cell r="F528" t="str">
            <v>3679</v>
          </cell>
          <cell r="G528" t="str">
            <v>Manufacturing</v>
          </cell>
          <cell r="H528" t="str">
            <v>NA</v>
          </cell>
        </row>
        <row r="529">
          <cell r="A529" t="str">
            <v>3691</v>
          </cell>
          <cell r="B529" t="str">
            <v>Manufacturing</v>
          </cell>
          <cell r="C529" t="str">
            <v>NA</v>
          </cell>
          <cell r="F529" t="str">
            <v>3691</v>
          </cell>
          <cell r="G529" t="str">
            <v>Manufacturing</v>
          </cell>
          <cell r="H529" t="str">
            <v>NA</v>
          </cell>
        </row>
        <row r="530">
          <cell r="A530" t="str">
            <v>3692</v>
          </cell>
          <cell r="B530" t="str">
            <v>Manufacturing</v>
          </cell>
          <cell r="C530" t="str">
            <v>NA</v>
          </cell>
          <cell r="F530" t="str">
            <v>3692</v>
          </cell>
          <cell r="G530" t="str">
            <v>Manufacturing</v>
          </cell>
          <cell r="H530" t="str">
            <v>NA</v>
          </cell>
        </row>
        <row r="531">
          <cell r="A531" t="str">
            <v>3694</v>
          </cell>
          <cell r="B531" t="str">
            <v>Manufacturing</v>
          </cell>
          <cell r="C531" t="str">
            <v>NA</v>
          </cell>
          <cell r="F531" t="str">
            <v>3694</v>
          </cell>
          <cell r="G531" t="str">
            <v>Manufacturing</v>
          </cell>
          <cell r="H531" t="str">
            <v>NA</v>
          </cell>
        </row>
        <row r="532">
          <cell r="A532" t="str">
            <v>3695</v>
          </cell>
          <cell r="B532" t="str">
            <v>Manufacturing</v>
          </cell>
          <cell r="C532" t="str">
            <v>NA</v>
          </cell>
          <cell r="F532" t="str">
            <v>3695</v>
          </cell>
          <cell r="G532" t="str">
            <v>Manufacturing</v>
          </cell>
          <cell r="H532" t="str">
            <v>NA</v>
          </cell>
        </row>
        <row r="533">
          <cell r="A533" t="str">
            <v>3699</v>
          </cell>
          <cell r="B533" t="str">
            <v>Manufacturing</v>
          </cell>
          <cell r="C533" t="str">
            <v>NA</v>
          </cell>
          <cell r="F533" t="str">
            <v>3699</v>
          </cell>
          <cell r="G533" t="str">
            <v>Manufacturing</v>
          </cell>
          <cell r="H533" t="str">
            <v>NA</v>
          </cell>
        </row>
        <row r="534">
          <cell r="A534" t="str">
            <v>3711</v>
          </cell>
          <cell r="B534" t="str">
            <v>Manufacturing</v>
          </cell>
          <cell r="C534" t="str">
            <v>NA</v>
          </cell>
          <cell r="F534" t="str">
            <v>3711</v>
          </cell>
          <cell r="G534" t="str">
            <v>Manufacturing</v>
          </cell>
          <cell r="H534" t="str">
            <v>NA</v>
          </cell>
        </row>
        <row r="535">
          <cell r="A535" t="str">
            <v>3713</v>
          </cell>
          <cell r="B535" t="str">
            <v>Manufacturing</v>
          </cell>
          <cell r="C535" t="str">
            <v>NA</v>
          </cell>
          <cell r="F535" t="str">
            <v>3713</v>
          </cell>
          <cell r="G535" t="str">
            <v>Manufacturing</v>
          </cell>
          <cell r="H535" t="str">
            <v>NA</v>
          </cell>
        </row>
        <row r="536">
          <cell r="A536" t="str">
            <v>3714</v>
          </cell>
          <cell r="B536" t="str">
            <v>Manufacturing</v>
          </cell>
          <cell r="C536" t="str">
            <v>NA</v>
          </cell>
          <cell r="F536" t="str">
            <v>3714</v>
          </cell>
          <cell r="G536" t="str">
            <v>Manufacturing</v>
          </cell>
          <cell r="H536" t="str">
            <v>NA</v>
          </cell>
        </row>
        <row r="537">
          <cell r="A537" t="str">
            <v>3715</v>
          </cell>
          <cell r="B537" t="str">
            <v>Manufacturing</v>
          </cell>
          <cell r="C537" t="str">
            <v>NA</v>
          </cell>
          <cell r="F537" t="str">
            <v>3715</v>
          </cell>
          <cell r="G537" t="str">
            <v>Manufacturing</v>
          </cell>
          <cell r="H537" t="str">
            <v>NA</v>
          </cell>
        </row>
        <row r="538">
          <cell r="A538" t="str">
            <v>3721</v>
          </cell>
          <cell r="B538" t="str">
            <v>Manufacturing</v>
          </cell>
          <cell r="C538" t="str">
            <v>NA</v>
          </cell>
          <cell r="F538" t="str">
            <v>3721</v>
          </cell>
          <cell r="G538" t="str">
            <v>Manufacturing</v>
          </cell>
          <cell r="H538" t="str">
            <v>NA</v>
          </cell>
        </row>
        <row r="539">
          <cell r="A539" t="str">
            <v>3724</v>
          </cell>
          <cell r="B539" t="str">
            <v>Manufacturing</v>
          </cell>
          <cell r="C539" t="str">
            <v>NA</v>
          </cell>
          <cell r="F539" t="str">
            <v>3724</v>
          </cell>
          <cell r="G539" t="str">
            <v>Manufacturing</v>
          </cell>
          <cell r="H539" t="str">
            <v>NA</v>
          </cell>
        </row>
        <row r="540">
          <cell r="A540" t="str">
            <v>3728</v>
          </cell>
          <cell r="B540" t="str">
            <v>Manufacturing</v>
          </cell>
          <cell r="C540" t="str">
            <v>NA</v>
          </cell>
          <cell r="F540" t="str">
            <v>3728</v>
          </cell>
          <cell r="G540" t="str">
            <v>Manufacturing</v>
          </cell>
          <cell r="H540" t="str">
            <v>NA</v>
          </cell>
        </row>
        <row r="541">
          <cell r="A541" t="str">
            <v>3731</v>
          </cell>
          <cell r="B541" t="str">
            <v>Manufacturing</v>
          </cell>
          <cell r="C541" t="str">
            <v>NA</v>
          </cell>
          <cell r="F541" t="str">
            <v>3731</v>
          </cell>
          <cell r="G541" t="str">
            <v>Manufacturing</v>
          </cell>
          <cell r="H541" t="str">
            <v>NA</v>
          </cell>
        </row>
        <row r="542">
          <cell r="A542" t="str">
            <v>3732</v>
          </cell>
          <cell r="B542" t="str">
            <v>Manufacturing</v>
          </cell>
          <cell r="C542" t="str">
            <v>NA</v>
          </cell>
          <cell r="F542" t="str">
            <v>3732</v>
          </cell>
          <cell r="G542" t="str">
            <v>Manufacturing</v>
          </cell>
          <cell r="H542" t="str">
            <v>NA</v>
          </cell>
        </row>
        <row r="543">
          <cell r="A543" t="str">
            <v>3743</v>
          </cell>
          <cell r="B543" t="str">
            <v>Manufacturing</v>
          </cell>
          <cell r="C543" t="str">
            <v>NA</v>
          </cell>
          <cell r="F543" t="str">
            <v>3743</v>
          </cell>
          <cell r="G543" t="str">
            <v>Manufacturing</v>
          </cell>
          <cell r="H543" t="str">
            <v>NA</v>
          </cell>
        </row>
        <row r="544">
          <cell r="A544" t="str">
            <v>3751</v>
          </cell>
          <cell r="B544" t="str">
            <v>Manufacturing</v>
          </cell>
          <cell r="C544" t="str">
            <v>NA</v>
          </cell>
          <cell r="F544" t="str">
            <v>3751</v>
          </cell>
          <cell r="G544" t="str">
            <v>Manufacturing</v>
          </cell>
          <cell r="H544" t="str">
            <v>NA</v>
          </cell>
        </row>
        <row r="545">
          <cell r="A545" t="str">
            <v>3761</v>
          </cell>
          <cell r="B545" t="str">
            <v>Manufacturing</v>
          </cell>
          <cell r="C545" t="str">
            <v>NA</v>
          </cell>
          <cell r="F545" t="str">
            <v>3761</v>
          </cell>
          <cell r="G545" t="str">
            <v>Manufacturing</v>
          </cell>
          <cell r="H545" t="str">
            <v>NA</v>
          </cell>
        </row>
        <row r="546">
          <cell r="A546" t="str">
            <v>3764</v>
          </cell>
          <cell r="B546" t="str">
            <v>Manufacturing</v>
          </cell>
          <cell r="C546" t="str">
            <v>NA</v>
          </cell>
          <cell r="F546" t="str">
            <v>3764</v>
          </cell>
          <cell r="G546" t="str">
            <v>Manufacturing</v>
          </cell>
          <cell r="H546" t="str">
            <v>NA</v>
          </cell>
        </row>
        <row r="547">
          <cell r="A547" t="str">
            <v>3769</v>
          </cell>
          <cell r="B547" t="str">
            <v>Manufacturing</v>
          </cell>
          <cell r="C547" t="str">
            <v>NA</v>
          </cell>
          <cell r="F547" t="str">
            <v>3769</v>
          </cell>
          <cell r="G547" t="str">
            <v>Manufacturing</v>
          </cell>
          <cell r="H547" t="str">
            <v>NA</v>
          </cell>
        </row>
        <row r="548">
          <cell r="A548" t="str">
            <v>3792</v>
          </cell>
          <cell r="B548" t="str">
            <v>Manufacturing</v>
          </cell>
          <cell r="C548" t="str">
            <v>NA</v>
          </cell>
          <cell r="F548" t="str">
            <v>3792</v>
          </cell>
          <cell r="G548" t="str">
            <v>Manufacturing</v>
          </cell>
          <cell r="H548" t="str">
            <v>NA</v>
          </cell>
        </row>
        <row r="549">
          <cell r="A549" t="str">
            <v>3795</v>
          </cell>
          <cell r="B549" t="str">
            <v>Manufacturing</v>
          </cell>
          <cell r="C549" t="str">
            <v>NA</v>
          </cell>
          <cell r="F549" t="str">
            <v>3795</v>
          </cell>
          <cell r="G549" t="str">
            <v>Manufacturing</v>
          </cell>
          <cell r="H549" t="str">
            <v>NA</v>
          </cell>
        </row>
        <row r="550">
          <cell r="A550" t="str">
            <v>3799</v>
          </cell>
          <cell r="B550" t="str">
            <v>Manufacturing</v>
          </cell>
          <cell r="C550" t="str">
            <v>NA</v>
          </cell>
          <cell r="F550" t="str">
            <v>3799</v>
          </cell>
          <cell r="G550" t="str">
            <v>Manufacturing</v>
          </cell>
          <cell r="H550" t="str">
            <v>NA</v>
          </cell>
        </row>
        <row r="551">
          <cell r="A551" t="str">
            <v>3812</v>
          </cell>
          <cell r="B551" t="str">
            <v>Manufacturing</v>
          </cell>
          <cell r="C551" t="str">
            <v>NA</v>
          </cell>
          <cell r="F551" t="str">
            <v>3812</v>
          </cell>
          <cell r="G551" t="str">
            <v>Manufacturing</v>
          </cell>
          <cell r="H551" t="str">
            <v>NA</v>
          </cell>
        </row>
        <row r="552">
          <cell r="A552" t="str">
            <v>3821</v>
          </cell>
          <cell r="B552" t="str">
            <v>Manufacturing</v>
          </cell>
          <cell r="C552" t="str">
            <v>NA</v>
          </cell>
          <cell r="F552" t="str">
            <v>3821</v>
          </cell>
          <cell r="G552" t="str">
            <v>Manufacturing</v>
          </cell>
          <cell r="H552" t="str">
            <v>NA</v>
          </cell>
        </row>
        <row r="553">
          <cell r="A553" t="str">
            <v>3822</v>
          </cell>
          <cell r="B553" t="str">
            <v>Manufacturing</v>
          </cell>
          <cell r="C553" t="str">
            <v>NA</v>
          </cell>
          <cell r="F553" t="str">
            <v>3822</v>
          </cell>
          <cell r="G553" t="str">
            <v>Manufacturing</v>
          </cell>
          <cell r="H553" t="str">
            <v>NA</v>
          </cell>
        </row>
        <row r="554">
          <cell r="A554" t="str">
            <v>3823</v>
          </cell>
          <cell r="B554" t="str">
            <v>Manufacturing</v>
          </cell>
          <cell r="C554" t="str">
            <v>NA</v>
          </cell>
          <cell r="F554" t="str">
            <v>3823</v>
          </cell>
          <cell r="G554" t="str">
            <v>Manufacturing</v>
          </cell>
          <cell r="H554" t="str">
            <v>NA</v>
          </cell>
        </row>
        <row r="555">
          <cell r="A555" t="str">
            <v>3824</v>
          </cell>
          <cell r="B555" t="str">
            <v>Manufacturing</v>
          </cell>
          <cell r="C555" t="str">
            <v>NA</v>
          </cell>
          <cell r="F555" t="str">
            <v>3824</v>
          </cell>
          <cell r="G555" t="str">
            <v>Manufacturing</v>
          </cell>
          <cell r="H555" t="str">
            <v>NA</v>
          </cell>
        </row>
        <row r="556">
          <cell r="A556" t="str">
            <v>3825</v>
          </cell>
          <cell r="B556" t="str">
            <v>Manufacturing</v>
          </cell>
          <cell r="C556" t="str">
            <v>NA</v>
          </cell>
          <cell r="F556" t="str">
            <v>3825</v>
          </cell>
          <cell r="G556" t="str">
            <v>Manufacturing</v>
          </cell>
          <cell r="H556" t="str">
            <v>NA</v>
          </cell>
        </row>
        <row r="557">
          <cell r="A557" t="str">
            <v>3826</v>
          </cell>
          <cell r="B557" t="str">
            <v>Manufacturing</v>
          </cell>
          <cell r="C557" t="str">
            <v>NA</v>
          </cell>
          <cell r="F557" t="str">
            <v>3826</v>
          </cell>
          <cell r="G557" t="str">
            <v>Manufacturing</v>
          </cell>
          <cell r="H557" t="str">
            <v>NA</v>
          </cell>
        </row>
        <row r="558">
          <cell r="A558" t="str">
            <v>3827</v>
          </cell>
          <cell r="B558" t="str">
            <v>Manufacturing</v>
          </cell>
          <cell r="C558" t="str">
            <v>NA</v>
          </cell>
          <cell r="F558" t="str">
            <v>3827</v>
          </cell>
          <cell r="G558" t="str">
            <v>Manufacturing</v>
          </cell>
          <cell r="H558" t="str">
            <v>NA</v>
          </cell>
        </row>
        <row r="559">
          <cell r="A559" t="str">
            <v>3829</v>
          </cell>
          <cell r="B559" t="str">
            <v>Manufacturing</v>
          </cell>
          <cell r="C559" t="str">
            <v>NA</v>
          </cell>
          <cell r="F559" t="str">
            <v>3829</v>
          </cell>
          <cell r="G559" t="str">
            <v>Manufacturing</v>
          </cell>
          <cell r="H559" t="str">
            <v>NA</v>
          </cell>
        </row>
        <row r="560">
          <cell r="A560" t="str">
            <v>3841</v>
          </cell>
          <cell r="B560" t="str">
            <v>Manufacturing</v>
          </cell>
          <cell r="C560" t="str">
            <v>NA</v>
          </cell>
          <cell r="F560" t="str">
            <v>3841</v>
          </cell>
          <cell r="G560" t="str">
            <v>Manufacturing</v>
          </cell>
          <cell r="H560" t="str">
            <v>NA</v>
          </cell>
        </row>
        <row r="561">
          <cell r="A561" t="str">
            <v>3842</v>
          </cell>
          <cell r="B561" t="str">
            <v>Manufacturing</v>
          </cell>
          <cell r="C561" t="str">
            <v>NA</v>
          </cell>
          <cell r="F561" t="str">
            <v>3842</v>
          </cell>
          <cell r="G561" t="str">
            <v>Manufacturing</v>
          </cell>
          <cell r="H561" t="str">
            <v>NA</v>
          </cell>
        </row>
        <row r="562">
          <cell r="A562" t="str">
            <v>3843</v>
          </cell>
          <cell r="B562" t="str">
            <v>Manufacturing</v>
          </cell>
          <cell r="C562" t="str">
            <v>NA</v>
          </cell>
          <cell r="F562" t="str">
            <v>3843</v>
          </cell>
          <cell r="G562" t="str">
            <v>Manufacturing</v>
          </cell>
          <cell r="H562" t="str">
            <v>NA</v>
          </cell>
        </row>
        <row r="563">
          <cell r="A563" t="str">
            <v>3844</v>
          </cell>
          <cell r="B563" t="str">
            <v>Manufacturing</v>
          </cell>
          <cell r="C563" t="str">
            <v>NA</v>
          </cell>
          <cell r="F563" t="str">
            <v>3844</v>
          </cell>
          <cell r="G563" t="str">
            <v>Manufacturing</v>
          </cell>
          <cell r="H563" t="str">
            <v>NA</v>
          </cell>
        </row>
        <row r="564">
          <cell r="A564" t="str">
            <v>3845</v>
          </cell>
          <cell r="B564" t="str">
            <v>Manufacturing</v>
          </cell>
          <cell r="C564" t="str">
            <v>NA</v>
          </cell>
          <cell r="F564" t="str">
            <v>3845</v>
          </cell>
          <cell r="G564" t="str">
            <v>Manufacturing</v>
          </cell>
          <cell r="H564" t="str">
            <v>NA</v>
          </cell>
        </row>
        <row r="565">
          <cell r="A565" t="str">
            <v>3851</v>
          </cell>
          <cell r="B565" t="str">
            <v>Manufacturing</v>
          </cell>
          <cell r="C565" t="str">
            <v>NA</v>
          </cell>
          <cell r="F565" t="str">
            <v>3851</v>
          </cell>
          <cell r="G565" t="str">
            <v>Manufacturing</v>
          </cell>
          <cell r="H565" t="str">
            <v>NA</v>
          </cell>
        </row>
        <row r="566">
          <cell r="A566" t="str">
            <v>3861</v>
          </cell>
          <cell r="B566" t="str">
            <v>Manufacturing</v>
          </cell>
          <cell r="C566" t="str">
            <v>NA</v>
          </cell>
          <cell r="F566" t="str">
            <v>3861</v>
          </cell>
          <cell r="G566" t="str">
            <v>Manufacturing</v>
          </cell>
          <cell r="H566" t="str">
            <v>NA</v>
          </cell>
        </row>
        <row r="567">
          <cell r="A567" t="str">
            <v>3873</v>
          </cell>
          <cell r="B567" t="str">
            <v>Manufacturing</v>
          </cell>
          <cell r="C567" t="str">
            <v>NA</v>
          </cell>
          <cell r="F567" t="str">
            <v>3873</v>
          </cell>
          <cell r="G567" t="str">
            <v>Manufacturing</v>
          </cell>
          <cell r="H567" t="str">
            <v>NA</v>
          </cell>
        </row>
        <row r="568">
          <cell r="A568" t="str">
            <v>3911</v>
          </cell>
          <cell r="B568" t="str">
            <v>Manufacturing</v>
          </cell>
          <cell r="C568" t="str">
            <v>NA</v>
          </cell>
          <cell r="F568" t="str">
            <v>3911</v>
          </cell>
          <cell r="G568" t="str">
            <v>Manufacturing</v>
          </cell>
          <cell r="H568" t="str">
            <v>NA</v>
          </cell>
        </row>
        <row r="569">
          <cell r="A569" t="str">
            <v>3914</v>
          </cell>
          <cell r="B569" t="str">
            <v>Manufacturing</v>
          </cell>
          <cell r="C569" t="str">
            <v>NA</v>
          </cell>
          <cell r="F569" t="str">
            <v>3914</v>
          </cell>
          <cell r="G569" t="str">
            <v>Manufacturing</v>
          </cell>
          <cell r="H569" t="str">
            <v>NA</v>
          </cell>
        </row>
        <row r="570">
          <cell r="A570" t="str">
            <v>3915</v>
          </cell>
          <cell r="B570" t="str">
            <v>Manufacturing</v>
          </cell>
          <cell r="C570" t="str">
            <v>NA</v>
          </cell>
          <cell r="F570" t="str">
            <v>3915</v>
          </cell>
          <cell r="G570" t="str">
            <v>Manufacturing</v>
          </cell>
          <cell r="H570" t="str">
            <v>NA</v>
          </cell>
        </row>
        <row r="571">
          <cell r="A571" t="str">
            <v>3931</v>
          </cell>
          <cell r="B571" t="str">
            <v>Manufacturing</v>
          </cell>
          <cell r="C571" t="str">
            <v>NA</v>
          </cell>
          <cell r="F571" t="str">
            <v>3931</v>
          </cell>
          <cell r="G571" t="str">
            <v>Manufacturing</v>
          </cell>
          <cell r="H571" t="str">
            <v>NA</v>
          </cell>
        </row>
        <row r="572">
          <cell r="A572" t="str">
            <v>3942</v>
          </cell>
          <cell r="B572" t="str">
            <v>Manufacturing</v>
          </cell>
          <cell r="C572" t="str">
            <v>NA</v>
          </cell>
          <cell r="F572" t="str">
            <v>3942</v>
          </cell>
          <cell r="G572" t="str">
            <v>Manufacturing</v>
          </cell>
          <cell r="H572" t="str">
            <v>NA</v>
          </cell>
        </row>
        <row r="573">
          <cell r="A573" t="str">
            <v>3944</v>
          </cell>
          <cell r="B573" t="str">
            <v>Manufacturing</v>
          </cell>
          <cell r="C573" t="str">
            <v>NA</v>
          </cell>
          <cell r="F573" t="str">
            <v>3944</v>
          </cell>
          <cell r="G573" t="str">
            <v>Manufacturing</v>
          </cell>
          <cell r="H573" t="str">
            <v>NA</v>
          </cell>
        </row>
        <row r="574">
          <cell r="A574" t="str">
            <v>3949</v>
          </cell>
          <cell r="B574" t="str">
            <v>Manufacturing</v>
          </cell>
          <cell r="C574" t="str">
            <v>NA</v>
          </cell>
          <cell r="F574" t="str">
            <v>3949</v>
          </cell>
          <cell r="G574" t="str">
            <v>Manufacturing</v>
          </cell>
          <cell r="H574" t="str">
            <v>NA</v>
          </cell>
        </row>
        <row r="575">
          <cell r="A575" t="str">
            <v>3951</v>
          </cell>
          <cell r="B575" t="str">
            <v>Manufacturing</v>
          </cell>
          <cell r="C575" t="str">
            <v>NA</v>
          </cell>
          <cell r="F575" t="str">
            <v>3951</v>
          </cell>
          <cell r="G575" t="str">
            <v>Manufacturing</v>
          </cell>
          <cell r="H575" t="str">
            <v>NA</v>
          </cell>
        </row>
        <row r="576">
          <cell r="A576" t="str">
            <v>3952</v>
          </cell>
          <cell r="B576" t="str">
            <v>Manufacturing</v>
          </cell>
          <cell r="C576" t="str">
            <v>NA</v>
          </cell>
          <cell r="F576" t="str">
            <v>3952</v>
          </cell>
          <cell r="G576" t="str">
            <v>Manufacturing</v>
          </cell>
          <cell r="H576" t="str">
            <v>NA</v>
          </cell>
        </row>
        <row r="577">
          <cell r="A577" t="str">
            <v>3953</v>
          </cell>
          <cell r="B577" t="str">
            <v>Manufacturing</v>
          </cell>
          <cell r="C577" t="str">
            <v>NA</v>
          </cell>
          <cell r="F577" t="str">
            <v>3953</v>
          </cell>
          <cell r="G577" t="str">
            <v>Manufacturing</v>
          </cell>
          <cell r="H577" t="str">
            <v>NA</v>
          </cell>
        </row>
        <row r="578">
          <cell r="A578" t="str">
            <v>3955</v>
          </cell>
          <cell r="B578" t="str">
            <v>Manufacturing</v>
          </cell>
          <cell r="C578" t="str">
            <v>NA</v>
          </cell>
          <cell r="F578" t="str">
            <v>3955</v>
          </cell>
          <cell r="G578" t="str">
            <v>Manufacturing</v>
          </cell>
          <cell r="H578" t="str">
            <v>NA</v>
          </cell>
        </row>
        <row r="579">
          <cell r="A579" t="str">
            <v>3961</v>
          </cell>
          <cell r="B579" t="str">
            <v>Manufacturing</v>
          </cell>
          <cell r="C579" t="str">
            <v>NA</v>
          </cell>
          <cell r="F579" t="str">
            <v>3961</v>
          </cell>
          <cell r="G579" t="str">
            <v>Manufacturing</v>
          </cell>
          <cell r="H579" t="str">
            <v>NA</v>
          </cell>
        </row>
        <row r="580">
          <cell r="A580" t="str">
            <v>3965</v>
          </cell>
          <cell r="B580" t="str">
            <v>Manufacturing</v>
          </cell>
          <cell r="C580" t="str">
            <v>NA</v>
          </cell>
          <cell r="F580" t="str">
            <v>3965</v>
          </cell>
          <cell r="G580" t="str">
            <v>Manufacturing</v>
          </cell>
          <cell r="H580" t="str">
            <v>NA</v>
          </cell>
        </row>
        <row r="581">
          <cell r="A581" t="str">
            <v>3991</v>
          </cell>
          <cell r="B581" t="str">
            <v>Manufacturing</v>
          </cell>
          <cell r="C581" t="str">
            <v>NA</v>
          </cell>
          <cell r="F581" t="str">
            <v>3991</v>
          </cell>
          <cell r="G581" t="str">
            <v>Manufacturing</v>
          </cell>
          <cell r="H581" t="str">
            <v>NA</v>
          </cell>
        </row>
        <row r="582">
          <cell r="A582" t="str">
            <v>3993</v>
          </cell>
          <cell r="B582" t="str">
            <v>Manufacturing</v>
          </cell>
          <cell r="C582" t="str">
            <v>NA</v>
          </cell>
          <cell r="F582" t="str">
            <v>3993</v>
          </cell>
          <cell r="G582" t="str">
            <v>Manufacturing</v>
          </cell>
          <cell r="H582" t="str">
            <v>NA</v>
          </cell>
        </row>
        <row r="583">
          <cell r="A583" t="str">
            <v>3995</v>
          </cell>
          <cell r="B583" t="str">
            <v>Manufacturing</v>
          </cell>
          <cell r="C583" t="str">
            <v>NA</v>
          </cell>
          <cell r="F583" t="str">
            <v>3995</v>
          </cell>
          <cell r="G583" t="str">
            <v>Manufacturing</v>
          </cell>
          <cell r="H583" t="str">
            <v>NA</v>
          </cell>
        </row>
        <row r="584">
          <cell r="A584" t="str">
            <v>3996</v>
          </cell>
          <cell r="B584" t="str">
            <v>Manufacturing</v>
          </cell>
          <cell r="C584" t="str">
            <v>NA</v>
          </cell>
          <cell r="F584" t="str">
            <v>3996</v>
          </cell>
          <cell r="G584" t="str">
            <v>Manufacturing</v>
          </cell>
          <cell r="H584" t="str">
            <v>NA</v>
          </cell>
        </row>
        <row r="585">
          <cell r="A585" t="str">
            <v>3999</v>
          </cell>
          <cell r="B585" t="str">
            <v>Manufacturing</v>
          </cell>
          <cell r="C585" t="str">
            <v>NA</v>
          </cell>
          <cell r="F585" t="str">
            <v>3999</v>
          </cell>
          <cell r="G585" t="str">
            <v>Manufacturing</v>
          </cell>
          <cell r="H585" t="str">
            <v>NA</v>
          </cell>
        </row>
        <row r="586">
          <cell r="A586" t="str">
            <v>4011</v>
          </cell>
          <cell r="B586" t="str">
            <v>Services</v>
          </cell>
          <cell r="C586" t="str">
            <v>NA</v>
          </cell>
          <cell r="F586" t="str">
            <v>4011</v>
          </cell>
          <cell r="G586" t="str">
            <v>Services</v>
          </cell>
          <cell r="H586" t="str">
            <v>NA</v>
          </cell>
        </row>
        <row r="587">
          <cell r="A587" t="str">
            <v>4013</v>
          </cell>
          <cell r="B587" t="str">
            <v>Services</v>
          </cell>
          <cell r="C587" t="str">
            <v>NA</v>
          </cell>
          <cell r="F587" t="str">
            <v>4013</v>
          </cell>
          <cell r="G587" t="str">
            <v>Services</v>
          </cell>
          <cell r="H587" t="str">
            <v>NA</v>
          </cell>
        </row>
        <row r="588">
          <cell r="A588" t="str">
            <v>4111</v>
          </cell>
          <cell r="B588" t="str">
            <v>Services</v>
          </cell>
          <cell r="C588" t="str">
            <v>NA</v>
          </cell>
          <cell r="F588" t="str">
            <v>4111</v>
          </cell>
          <cell r="G588" t="str">
            <v>Services</v>
          </cell>
          <cell r="H588" t="str">
            <v>NA</v>
          </cell>
        </row>
        <row r="589">
          <cell r="A589" t="str">
            <v>4119</v>
          </cell>
          <cell r="B589" t="str">
            <v>Services</v>
          </cell>
          <cell r="C589" t="str">
            <v>NA</v>
          </cell>
          <cell r="F589" t="str">
            <v>4119</v>
          </cell>
          <cell r="G589" t="str">
            <v>Services</v>
          </cell>
          <cell r="H589" t="str">
            <v>NA</v>
          </cell>
        </row>
        <row r="590">
          <cell r="A590" t="str">
            <v>4121</v>
          </cell>
          <cell r="B590" t="str">
            <v>Services</v>
          </cell>
          <cell r="C590" t="str">
            <v>NA</v>
          </cell>
          <cell r="F590" t="str">
            <v>4121</v>
          </cell>
          <cell r="G590" t="str">
            <v>Services</v>
          </cell>
          <cell r="H590" t="str">
            <v>NA</v>
          </cell>
        </row>
        <row r="591">
          <cell r="A591" t="str">
            <v>4131</v>
          </cell>
          <cell r="B591" t="str">
            <v>Services</v>
          </cell>
          <cell r="C591" t="str">
            <v>NA</v>
          </cell>
          <cell r="F591" t="str">
            <v>4131</v>
          </cell>
          <cell r="G591" t="str">
            <v>Services</v>
          </cell>
          <cell r="H591" t="str">
            <v>NA</v>
          </cell>
        </row>
        <row r="592">
          <cell r="A592" t="str">
            <v>4141</v>
          </cell>
          <cell r="B592" t="str">
            <v>Services</v>
          </cell>
          <cell r="C592" t="str">
            <v>NA</v>
          </cell>
          <cell r="F592" t="str">
            <v>4141</v>
          </cell>
          <cell r="G592" t="str">
            <v>Services</v>
          </cell>
          <cell r="H592" t="str">
            <v>NA</v>
          </cell>
        </row>
        <row r="593">
          <cell r="A593" t="str">
            <v>4142</v>
          </cell>
          <cell r="B593" t="str">
            <v>Services</v>
          </cell>
          <cell r="C593" t="str">
            <v>NA</v>
          </cell>
          <cell r="F593" t="str">
            <v>4142</v>
          </cell>
          <cell r="G593" t="str">
            <v>Services</v>
          </cell>
          <cell r="H593" t="str">
            <v>NA</v>
          </cell>
        </row>
        <row r="594">
          <cell r="A594" t="str">
            <v>4151</v>
          </cell>
          <cell r="B594" t="str">
            <v>Services</v>
          </cell>
          <cell r="C594" t="str">
            <v>NA</v>
          </cell>
          <cell r="F594" t="str">
            <v>4151</v>
          </cell>
          <cell r="G594" t="str">
            <v>Services</v>
          </cell>
          <cell r="H594" t="str">
            <v>NA</v>
          </cell>
        </row>
        <row r="595">
          <cell r="A595" t="str">
            <v>4173</v>
          </cell>
          <cell r="B595" t="str">
            <v>Services</v>
          </cell>
          <cell r="C595" t="str">
            <v>NA</v>
          </cell>
          <cell r="F595" t="str">
            <v>4173</v>
          </cell>
          <cell r="G595" t="str">
            <v>Services</v>
          </cell>
          <cell r="H595" t="str">
            <v>NA</v>
          </cell>
        </row>
        <row r="596">
          <cell r="A596" t="str">
            <v>4212</v>
          </cell>
          <cell r="B596" t="str">
            <v>Services</v>
          </cell>
          <cell r="C596" t="str">
            <v>NA</v>
          </cell>
          <cell r="F596" t="str">
            <v>4212</v>
          </cell>
          <cell r="G596" t="str">
            <v>Services</v>
          </cell>
          <cell r="H596" t="str">
            <v>NA</v>
          </cell>
        </row>
        <row r="597">
          <cell r="A597" t="str">
            <v>4213</v>
          </cell>
          <cell r="B597" t="str">
            <v>Services</v>
          </cell>
          <cell r="C597" t="str">
            <v>NA</v>
          </cell>
          <cell r="F597" t="str">
            <v>4213</v>
          </cell>
          <cell r="G597" t="str">
            <v>Services</v>
          </cell>
          <cell r="H597" t="str">
            <v>NA</v>
          </cell>
        </row>
        <row r="598">
          <cell r="A598" t="str">
            <v>4214</v>
          </cell>
          <cell r="B598" t="str">
            <v>Services</v>
          </cell>
          <cell r="C598" t="str">
            <v>NA</v>
          </cell>
          <cell r="F598" t="str">
            <v>4214</v>
          </cell>
          <cell r="G598" t="str">
            <v>Services</v>
          </cell>
          <cell r="H598" t="str">
            <v>NA</v>
          </cell>
        </row>
        <row r="599">
          <cell r="A599" t="str">
            <v>4215</v>
          </cell>
          <cell r="B599" t="str">
            <v>Services</v>
          </cell>
          <cell r="C599" t="str">
            <v>NA</v>
          </cell>
          <cell r="F599" t="str">
            <v>4215</v>
          </cell>
          <cell r="G599" t="str">
            <v>Services</v>
          </cell>
          <cell r="H599" t="str">
            <v>NA</v>
          </cell>
        </row>
        <row r="600">
          <cell r="A600" t="str">
            <v>4221</v>
          </cell>
          <cell r="B600" t="str">
            <v>Services</v>
          </cell>
          <cell r="C600" t="str">
            <v>NA</v>
          </cell>
          <cell r="F600" t="str">
            <v>4221</v>
          </cell>
          <cell r="G600" t="str">
            <v>Services</v>
          </cell>
          <cell r="H600" t="str">
            <v>NA</v>
          </cell>
        </row>
        <row r="601">
          <cell r="A601" t="str">
            <v>4222</v>
          </cell>
          <cell r="B601" t="str">
            <v>Services</v>
          </cell>
          <cell r="C601" t="str">
            <v>NA</v>
          </cell>
          <cell r="F601" t="str">
            <v>4222</v>
          </cell>
          <cell r="G601" t="str">
            <v>Services</v>
          </cell>
          <cell r="H601" t="str">
            <v>NA</v>
          </cell>
        </row>
        <row r="602">
          <cell r="A602" t="str">
            <v>4225</v>
          </cell>
          <cell r="B602" t="str">
            <v>Services</v>
          </cell>
          <cell r="C602" t="str">
            <v>NA</v>
          </cell>
          <cell r="F602" t="str">
            <v>4225</v>
          </cell>
          <cell r="G602" t="str">
            <v>Services</v>
          </cell>
          <cell r="H602" t="str">
            <v>NA</v>
          </cell>
        </row>
        <row r="603">
          <cell r="A603" t="str">
            <v>4226</v>
          </cell>
          <cell r="B603" t="str">
            <v>Services</v>
          </cell>
          <cell r="C603" t="str">
            <v>NA</v>
          </cell>
          <cell r="F603" t="str">
            <v>4226</v>
          </cell>
          <cell r="G603" t="str">
            <v>Services</v>
          </cell>
          <cell r="H603" t="str">
            <v>NA</v>
          </cell>
        </row>
        <row r="604">
          <cell r="A604" t="str">
            <v>4231</v>
          </cell>
          <cell r="B604" t="str">
            <v>Services</v>
          </cell>
          <cell r="C604" t="str">
            <v>NA</v>
          </cell>
          <cell r="F604" t="str">
            <v>4231</v>
          </cell>
          <cell r="G604" t="str">
            <v>Services</v>
          </cell>
          <cell r="H604" t="str">
            <v>NA</v>
          </cell>
        </row>
        <row r="605">
          <cell r="A605" t="str">
            <v>4311</v>
          </cell>
          <cell r="B605" t="str">
            <v>Services</v>
          </cell>
          <cell r="C605" t="str">
            <v>NA</v>
          </cell>
          <cell r="F605" t="str">
            <v>4311</v>
          </cell>
          <cell r="G605" t="str">
            <v>Services</v>
          </cell>
          <cell r="H605" t="str">
            <v>NA</v>
          </cell>
        </row>
        <row r="606">
          <cell r="A606" t="str">
            <v>4412</v>
          </cell>
          <cell r="B606" t="str">
            <v>Services</v>
          </cell>
          <cell r="C606" t="str">
            <v>NA</v>
          </cell>
          <cell r="F606" t="str">
            <v>4412</v>
          </cell>
          <cell r="G606" t="str">
            <v>Services</v>
          </cell>
          <cell r="H606" t="str">
            <v>NA</v>
          </cell>
        </row>
        <row r="607">
          <cell r="A607" t="str">
            <v>4424</v>
          </cell>
          <cell r="B607" t="str">
            <v>Services</v>
          </cell>
          <cell r="C607" t="str">
            <v>NA</v>
          </cell>
          <cell r="F607" t="str">
            <v>4424</v>
          </cell>
          <cell r="G607" t="str">
            <v>Services</v>
          </cell>
          <cell r="H607" t="str">
            <v>NA</v>
          </cell>
        </row>
        <row r="608">
          <cell r="A608" t="str">
            <v>4432</v>
          </cell>
          <cell r="B608" t="str">
            <v>Services</v>
          </cell>
          <cell r="C608" t="str">
            <v>NA</v>
          </cell>
          <cell r="F608" t="str">
            <v>4432</v>
          </cell>
          <cell r="G608" t="str">
            <v>Services</v>
          </cell>
          <cell r="H608" t="str">
            <v>NA</v>
          </cell>
        </row>
        <row r="609">
          <cell r="A609" t="str">
            <v>4449</v>
          </cell>
          <cell r="B609" t="str">
            <v>Services</v>
          </cell>
          <cell r="C609" t="str">
            <v>NA</v>
          </cell>
          <cell r="F609" t="str">
            <v>4449</v>
          </cell>
          <cell r="G609" t="str">
            <v>Services</v>
          </cell>
          <cell r="H609" t="str">
            <v>NA</v>
          </cell>
        </row>
        <row r="610">
          <cell r="A610" t="str">
            <v>4481</v>
          </cell>
          <cell r="B610" t="str">
            <v>Services</v>
          </cell>
          <cell r="C610" t="str">
            <v>NA</v>
          </cell>
          <cell r="F610" t="str">
            <v>4481</v>
          </cell>
          <cell r="G610" t="str">
            <v>Services</v>
          </cell>
          <cell r="H610" t="str">
            <v>NA</v>
          </cell>
        </row>
        <row r="611">
          <cell r="A611" t="str">
            <v>4482</v>
          </cell>
          <cell r="B611" t="str">
            <v>Services</v>
          </cell>
          <cell r="C611" t="str">
            <v>NA</v>
          </cell>
          <cell r="F611" t="str">
            <v>4482</v>
          </cell>
          <cell r="G611" t="str">
            <v>Services</v>
          </cell>
          <cell r="H611" t="str">
            <v>NA</v>
          </cell>
        </row>
        <row r="612">
          <cell r="A612" t="str">
            <v>4489</v>
          </cell>
          <cell r="B612" t="str">
            <v>Services</v>
          </cell>
          <cell r="C612" t="str">
            <v>NA</v>
          </cell>
          <cell r="F612" t="str">
            <v>4489</v>
          </cell>
          <cell r="G612" t="str">
            <v>Services</v>
          </cell>
          <cell r="H612" t="str">
            <v>NA</v>
          </cell>
        </row>
        <row r="613">
          <cell r="A613" t="str">
            <v>4491</v>
          </cell>
          <cell r="B613" t="str">
            <v>Services</v>
          </cell>
          <cell r="C613" t="str">
            <v>NA</v>
          </cell>
          <cell r="F613" t="str">
            <v>4491</v>
          </cell>
          <cell r="G613" t="str">
            <v>Services</v>
          </cell>
          <cell r="H613" t="str">
            <v>NA</v>
          </cell>
        </row>
        <row r="614">
          <cell r="A614" t="str">
            <v>4492</v>
          </cell>
          <cell r="B614" t="str">
            <v>Services</v>
          </cell>
          <cell r="C614" t="str">
            <v>NA</v>
          </cell>
          <cell r="F614" t="str">
            <v>4492</v>
          </cell>
          <cell r="G614" t="str">
            <v>Services</v>
          </cell>
          <cell r="H614" t="str">
            <v>NA</v>
          </cell>
        </row>
        <row r="615">
          <cell r="A615" t="str">
            <v>4493</v>
          </cell>
          <cell r="B615" t="str">
            <v>Services</v>
          </cell>
          <cell r="C615" t="str">
            <v>NA</v>
          </cell>
          <cell r="F615" t="str">
            <v>4493</v>
          </cell>
          <cell r="G615" t="str">
            <v>Services</v>
          </cell>
          <cell r="H615" t="str">
            <v>NA</v>
          </cell>
        </row>
        <row r="616">
          <cell r="A616" t="str">
            <v>4499</v>
          </cell>
          <cell r="B616" t="str">
            <v>Services</v>
          </cell>
          <cell r="C616" t="str">
            <v>NA</v>
          </cell>
          <cell r="F616" t="str">
            <v>4499</v>
          </cell>
          <cell r="G616" t="str">
            <v>Services</v>
          </cell>
          <cell r="H616" t="str">
            <v>NA</v>
          </cell>
        </row>
        <row r="617">
          <cell r="A617" t="str">
            <v>4512</v>
          </cell>
          <cell r="B617" t="str">
            <v>Services</v>
          </cell>
          <cell r="C617" t="str">
            <v>NA</v>
          </cell>
          <cell r="F617" t="str">
            <v>4512</v>
          </cell>
          <cell r="G617" t="str">
            <v>Services</v>
          </cell>
          <cell r="H617" t="str">
            <v>NA</v>
          </cell>
        </row>
        <row r="618">
          <cell r="A618" t="str">
            <v>4513</v>
          </cell>
          <cell r="B618" t="str">
            <v>Services</v>
          </cell>
          <cell r="C618" t="str">
            <v>NA</v>
          </cell>
          <cell r="F618" t="str">
            <v>4513</v>
          </cell>
          <cell r="G618" t="str">
            <v>Services</v>
          </cell>
          <cell r="H618" t="str">
            <v>NA</v>
          </cell>
        </row>
        <row r="619">
          <cell r="A619" t="str">
            <v>4522</v>
          </cell>
          <cell r="B619" t="str">
            <v>Services</v>
          </cell>
          <cell r="C619" t="str">
            <v>NA</v>
          </cell>
          <cell r="F619" t="str">
            <v>4522</v>
          </cell>
          <cell r="G619" t="str">
            <v>Services</v>
          </cell>
          <cell r="H619" t="str">
            <v>NA</v>
          </cell>
        </row>
        <row r="620">
          <cell r="A620" t="str">
            <v>4581</v>
          </cell>
          <cell r="B620" t="str">
            <v>Services</v>
          </cell>
          <cell r="C620" t="str">
            <v>NA</v>
          </cell>
          <cell r="F620" t="str">
            <v>4581</v>
          </cell>
          <cell r="G620" t="str">
            <v>Services</v>
          </cell>
          <cell r="H620" t="str">
            <v>NA</v>
          </cell>
        </row>
        <row r="621">
          <cell r="A621" t="str">
            <v>4612</v>
          </cell>
          <cell r="B621" t="str">
            <v>Services</v>
          </cell>
          <cell r="C621" t="str">
            <v>NA</v>
          </cell>
          <cell r="F621" t="str">
            <v>4612</v>
          </cell>
          <cell r="G621" t="str">
            <v>Services</v>
          </cell>
          <cell r="H621" t="str">
            <v>NA</v>
          </cell>
        </row>
        <row r="622">
          <cell r="A622" t="str">
            <v>4613</v>
          </cell>
          <cell r="B622" t="str">
            <v>Services</v>
          </cell>
          <cell r="C622" t="str">
            <v>NA</v>
          </cell>
          <cell r="F622" t="str">
            <v>4613</v>
          </cell>
          <cell r="G622" t="str">
            <v>Services</v>
          </cell>
          <cell r="H622" t="str">
            <v>NA</v>
          </cell>
        </row>
        <row r="623">
          <cell r="A623" t="str">
            <v>4619</v>
          </cell>
          <cell r="B623" t="str">
            <v>Services</v>
          </cell>
          <cell r="C623" t="str">
            <v>NA</v>
          </cell>
          <cell r="F623" t="str">
            <v>4619</v>
          </cell>
          <cell r="G623" t="str">
            <v>Services</v>
          </cell>
          <cell r="H623" t="str">
            <v>NA</v>
          </cell>
        </row>
        <row r="624">
          <cell r="A624" t="str">
            <v>4724</v>
          </cell>
          <cell r="B624" t="str">
            <v>Services</v>
          </cell>
          <cell r="C624">
            <v>3</v>
          </cell>
          <cell r="F624" t="str">
            <v>4724</v>
          </cell>
          <cell r="G624" t="str">
            <v>Services</v>
          </cell>
          <cell r="H624">
            <v>5</v>
          </cell>
        </row>
        <row r="625">
          <cell r="A625" t="str">
            <v>4725</v>
          </cell>
          <cell r="B625" t="str">
            <v>Services</v>
          </cell>
          <cell r="C625">
            <v>5</v>
          </cell>
          <cell r="F625" t="str">
            <v>4725</v>
          </cell>
          <cell r="G625" t="str">
            <v>Services</v>
          </cell>
          <cell r="H625">
            <v>8</v>
          </cell>
        </row>
        <row r="626">
          <cell r="A626" t="str">
            <v>4729</v>
          </cell>
          <cell r="B626" t="str">
            <v>Services</v>
          </cell>
          <cell r="C626">
            <v>3</v>
          </cell>
          <cell r="F626" t="str">
            <v>4729</v>
          </cell>
          <cell r="G626" t="str">
            <v>Services</v>
          </cell>
          <cell r="H626">
            <v>5</v>
          </cell>
        </row>
        <row r="627">
          <cell r="A627" t="str">
            <v>4731</v>
          </cell>
          <cell r="B627" t="str">
            <v>Services</v>
          </cell>
          <cell r="C627">
            <v>5</v>
          </cell>
          <cell r="F627" t="str">
            <v>4731</v>
          </cell>
          <cell r="G627" t="str">
            <v>Services</v>
          </cell>
          <cell r="H627">
            <v>5</v>
          </cell>
        </row>
        <row r="628">
          <cell r="A628" t="str">
            <v>4741</v>
          </cell>
          <cell r="B628" t="str">
            <v>Services</v>
          </cell>
          <cell r="C628" t="str">
            <v>NA</v>
          </cell>
          <cell r="F628" t="str">
            <v>4741</v>
          </cell>
          <cell r="G628" t="str">
            <v>Services</v>
          </cell>
          <cell r="H628" t="str">
            <v>NA</v>
          </cell>
        </row>
        <row r="629">
          <cell r="A629" t="str">
            <v>4783</v>
          </cell>
          <cell r="B629" t="str">
            <v>Services</v>
          </cell>
          <cell r="C629" t="str">
            <v>NA</v>
          </cell>
          <cell r="F629" t="str">
            <v>4783</v>
          </cell>
          <cell r="G629" t="str">
            <v>Services</v>
          </cell>
          <cell r="H629" t="str">
            <v>NA</v>
          </cell>
        </row>
        <row r="630">
          <cell r="A630" t="str">
            <v>4785</v>
          </cell>
          <cell r="B630" t="str">
            <v>Services</v>
          </cell>
          <cell r="C630" t="str">
            <v>NA</v>
          </cell>
          <cell r="F630" t="str">
            <v>4785</v>
          </cell>
          <cell r="G630" t="str">
            <v>Services</v>
          </cell>
          <cell r="H630" t="str">
            <v>NA</v>
          </cell>
        </row>
        <row r="631">
          <cell r="A631" t="str">
            <v>4789</v>
          </cell>
          <cell r="B631" t="str">
            <v>Services</v>
          </cell>
          <cell r="C631" t="str">
            <v>NA</v>
          </cell>
          <cell r="F631" t="str">
            <v>4789</v>
          </cell>
          <cell r="G631" t="str">
            <v>Services</v>
          </cell>
          <cell r="H631" t="str">
            <v>NA</v>
          </cell>
        </row>
        <row r="632">
          <cell r="A632" t="str">
            <v>4812</v>
          </cell>
          <cell r="B632" t="str">
            <v>Services</v>
          </cell>
          <cell r="C632" t="str">
            <v>NA</v>
          </cell>
          <cell r="F632" t="str">
            <v>4812</v>
          </cell>
          <cell r="G632" t="str">
            <v>Services</v>
          </cell>
          <cell r="H632" t="str">
            <v>NA</v>
          </cell>
        </row>
        <row r="633">
          <cell r="A633" t="str">
            <v>4813</v>
          </cell>
          <cell r="B633" t="str">
            <v>Services</v>
          </cell>
          <cell r="C633" t="str">
            <v>NA</v>
          </cell>
          <cell r="F633" t="str">
            <v>4813</v>
          </cell>
          <cell r="G633" t="str">
            <v>Services</v>
          </cell>
          <cell r="H633" t="str">
            <v>NA</v>
          </cell>
        </row>
        <row r="634">
          <cell r="A634" t="str">
            <v>4822</v>
          </cell>
          <cell r="B634" t="str">
            <v>Services</v>
          </cell>
          <cell r="C634" t="str">
            <v>NA</v>
          </cell>
          <cell r="F634" t="str">
            <v>4822</v>
          </cell>
          <cell r="G634" t="str">
            <v>Services</v>
          </cell>
          <cell r="H634" t="str">
            <v>NA</v>
          </cell>
        </row>
        <row r="635">
          <cell r="A635" t="str">
            <v>4832</v>
          </cell>
          <cell r="B635" t="str">
            <v>Services</v>
          </cell>
          <cell r="C635" t="str">
            <v>NA</v>
          </cell>
          <cell r="F635" t="str">
            <v>4832</v>
          </cell>
          <cell r="G635" t="str">
            <v>Services</v>
          </cell>
          <cell r="H635" t="str">
            <v>NA</v>
          </cell>
        </row>
        <row r="636">
          <cell r="A636" t="str">
            <v>4833</v>
          </cell>
          <cell r="B636" t="str">
            <v>Services</v>
          </cell>
          <cell r="C636" t="str">
            <v>NA</v>
          </cell>
          <cell r="F636" t="str">
            <v>4833</v>
          </cell>
          <cell r="G636" t="str">
            <v>Services</v>
          </cell>
          <cell r="H636" t="str">
            <v>NA</v>
          </cell>
        </row>
        <row r="637">
          <cell r="A637" t="str">
            <v>4841</v>
          </cell>
          <cell r="B637" t="str">
            <v>Services</v>
          </cell>
          <cell r="C637" t="str">
            <v>NA</v>
          </cell>
          <cell r="F637" t="str">
            <v>4841</v>
          </cell>
          <cell r="G637" t="str">
            <v>Services</v>
          </cell>
          <cell r="H637" t="str">
            <v>NA</v>
          </cell>
        </row>
        <row r="638">
          <cell r="A638" t="str">
            <v>4899</v>
          </cell>
          <cell r="B638" t="str">
            <v>Services</v>
          </cell>
          <cell r="C638" t="str">
            <v>NA</v>
          </cell>
          <cell r="F638" t="str">
            <v>4899</v>
          </cell>
          <cell r="G638" t="str">
            <v>Services</v>
          </cell>
          <cell r="H638" t="str">
            <v>NA</v>
          </cell>
        </row>
        <row r="639">
          <cell r="A639" t="str">
            <v>4911</v>
          </cell>
          <cell r="B639" t="str">
            <v>Services</v>
          </cell>
          <cell r="C639" t="str">
            <v>NA</v>
          </cell>
          <cell r="F639" t="str">
            <v>4911</v>
          </cell>
          <cell r="G639" t="str">
            <v>Services</v>
          </cell>
          <cell r="H639" t="str">
            <v>NA</v>
          </cell>
        </row>
        <row r="640">
          <cell r="A640" t="str">
            <v>4922</v>
          </cell>
          <cell r="B640" t="str">
            <v>Services</v>
          </cell>
          <cell r="C640" t="str">
            <v>NA</v>
          </cell>
          <cell r="F640" t="str">
            <v>4922</v>
          </cell>
          <cell r="G640" t="str">
            <v>Services</v>
          </cell>
          <cell r="H640" t="str">
            <v>NA</v>
          </cell>
        </row>
        <row r="641">
          <cell r="A641" t="str">
            <v>4923</v>
          </cell>
          <cell r="B641" t="str">
            <v>Services</v>
          </cell>
          <cell r="C641" t="str">
            <v>NA</v>
          </cell>
          <cell r="F641" t="str">
            <v>4923</v>
          </cell>
          <cell r="G641" t="str">
            <v>Services</v>
          </cell>
          <cell r="H641" t="str">
            <v>NA</v>
          </cell>
        </row>
        <row r="642">
          <cell r="A642" t="str">
            <v>4924</v>
          </cell>
          <cell r="B642" t="str">
            <v>Services</v>
          </cell>
          <cell r="C642" t="str">
            <v>NA</v>
          </cell>
          <cell r="F642" t="str">
            <v>4924</v>
          </cell>
          <cell r="G642" t="str">
            <v>Services</v>
          </cell>
          <cell r="H642" t="str">
            <v>NA</v>
          </cell>
        </row>
        <row r="643">
          <cell r="A643" t="str">
            <v>4925</v>
          </cell>
          <cell r="B643" t="str">
            <v>Services</v>
          </cell>
          <cell r="C643" t="str">
            <v>NA</v>
          </cell>
          <cell r="F643" t="str">
            <v>4925</v>
          </cell>
          <cell r="G643" t="str">
            <v>Services</v>
          </cell>
          <cell r="H643" t="str">
            <v>NA</v>
          </cell>
        </row>
        <row r="644">
          <cell r="A644" t="str">
            <v>4931</v>
          </cell>
          <cell r="B644" t="str">
            <v>Services</v>
          </cell>
          <cell r="C644" t="str">
            <v>NA</v>
          </cell>
          <cell r="F644" t="str">
            <v>4931</v>
          </cell>
          <cell r="G644" t="str">
            <v>Services</v>
          </cell>
          <cell r="H644" t="str">
            <v>NA</v>
          </cell>
        </row>
        <row r="645">
          <cell r="A645" t="str">
            <v>4932</v>
          </cell>
          <cell r="B645" t="str">
            <v>Services</v>
          </cell>
          <cell r="C645" t="str">
            <v>NA</v>
          </cell>
          <cell r="F645" t="str">
            <v>4932</v>
          </cell>
          <cell r="G645" t="str">
            <v>Services</v>
          </cell>
          <cell r="H645" t="str">
            <v>NA</v>
          </cell>
        </row>
        <row r="646">
          <cell r="A646" t="str">
            <v>4939</v>
          </cell>
          <cell r="B646" t="str">
            <v>Services</v>
          </cell>
          <cell r="C646" t="str">
            <v>NA</v>
          </cell>
          <cell r="F646" t="str">
            <v>4939</v>
          </cell>
          <cell r="G646" t="str">
            <v>Services</v>
          </cell>
          <cell r="H646" t="str">
            <v>NA</v>
          </cell>
        </row>
        <row r="647">
          <cell r="A647" t="str">
            <v>4941</v>
          </cell>
          <cell r="B647" t="str">
            <v>Services</v>
          </cell>
          <cell r="C647" t="str">
            <v>NA</v>
          </cell>
          <cell r="F647" t="str">
            <v>4941</v>
          </cell>
          <cell r="G647" t="str">
            <v>Services</v>
          </cell>
          <cell r="H647" t="str">
            <v>NA</v>
          </cell>
        </row>
        <row r="648">
          <cell r="A648" t="str">
            <v>4952</v>
          </cell>
          <cell r="B648" t="str">
            <v>Services</v>
          </cell>
          <cell r="C648" t="str">
            <v>NA</v>
          </cell>
          <cell r="F648" t="str">
            <v>4952</v>
          </cell>
          <cell r="G648" t="str">
            <v>Services</v>
          </cell>
          <cell r="H648" t="str">
            <v>NA</v>
          </cell>
        </row>
        <row r="649">
          <cell r="A649" t="str">
            <v>4953</v>
          </cell>
          <cell r="B649" t="str">
            <v>Services</v>
          </cell>
          <cell r="C649" t="str">
            <v>NA</v>
          </cell>
          <cell r="F649" t="str">
            <v>4953</v>
          </cell>
          <cell r="G649" t="str">
            <v>Services</v>
          </cell>
          <cell r="H649" t="str">
            <v>NA</v>
          </cell>
        </row>
        <row r="650">
          <cell r="A650" t="str">
            <v>4959</v>
          </cell>
          <cell r="B650" t="str">
            <v>Services</v>
          </cell>
          <cell r="C650" t="str">
            <v>NA</v>
          </cell>
          <cell r="F650" t="str">
            <v>4959</v>
          </cell>
          <cell r="G650" t="str">
            <v>Services</v>
          </cell>
          <cell r="H650" t="str">
            <v>NA</v>
          </cell>
        </row>
        <row r="651">
          <cell r="A651" t="str">
            <v>4961</v>
          </cell>
          <cell r="B651" t="str">
            <v>Services</v>
          </cell>
          <cell r="C651" t="str">
            <v>NA</v>
          </cell>
          <cell r="F651" t="str">
            <v>4961</v>
          </cell>
          <cell r="G651" t="str">
            <v>Services</v>
          </cell>
          <cell r="H651" t="str">
            <v>NA</v>
          </cell>
        </row>
        <row r="652">
          <cell r="A652" t="str">
            <v>4971</v>
          </cell>
          <cell r="B652" t="str">
            <v>Services</v>
          </cell>
          <cell r="C652" t="str">
            <v>NA</v>
          </cell>
          <cell r="F652" t="str">
            <v>4971</v>
          </cell>
          <cell r="G652" t="str">
            <v>Services</v>
          </cell>
          <cell r="H652" t="str">
            <v>NA</v>
          </cell>
        </row>
        <row r="653">
          <cell r="A653" t="str">
            <v>5012</v>
          </cell>
          <cell r="B653" t="str">
            <v>Wholesale</v>
          </cell>
          <cell r="C653" t="str">
            <v>NA</v>
          </cell>
          <cell r="F653" t="str">
            <v>5012</v>
          </cell>
          <cell r="G653" t="str">
            <v>Wholesale</v>
          </cell>
          <cell r="H653" t="str">
            <v>NA</v>
          </cell>
        </row>
        <row r="654">
          <cell r="A654" t="str">
            <v>5013</v>
          </cell>
          <cell r="B654" t="str">
            <v>Wholesale</v>
          </cell>
          <cell r="C654">
            <v>3</v>
          </cell>
          <cell r="F654" t="str">
            <v>5013</v>
          </cell>
          <cell r="G654" t="str">
            <v>Wholesale</v>
          </cell>
          <cell r="H654">
            <v>5</v>
          </cell>
        </row>
        <row r="655">
          <cell r="A655" t="str">
            <v>5014</v>
          </cell>
          <cell r="B655" t="str">
            <v>Wholesale</v>
          </cell>
          <cell r="C655">
            <v>9</v>
          </cell>
          <cell r="F655" t="str">
            <v>5014</v>
          </cell>
          <cell r="G655" t="str">
            <v>Wholesale</v>
          </cell>
          <cell r="H655">
            <v>9</v>
          </cell>
        </row>
        <row r="656">
          <cell r="A656" t="str">
            <v>5015</v>
          </cell>
          <cell r="B656" t="str">
            <v>Wholesale</v>
          </cell>
          <cell r="C656">
            <v>7</v>
          </cell>
          <cell r="F656" t="str">
            <v>5015</v>
          </cell>
          <cell r="G656" t="str">
            <v>Wholesale</v>
          </cell>
          <cell r="H656">
            <v>8</v>
          </cell>
        </row>
        <row r="657">
          <cell r="A657" t="str">
            <v>5021</v>
          </cell>
          <cell r="B657" t="str">
            <v>Wholesale</v>
          </cell>
          <cell r="C657">
            <v>7</v>
          </cell>
          <cell r="F657" t="str">
            <v>5021</v>
          </cell>
          <cell r="G657" t="str">
            <v>Wholesale</v>
          </cell>
          <cell r="H657">
            <v>7</v>
          </cell>
        </row>
        <row r="658">
          <cell r="A658" t="str">
            <v>5023</v>
          </cell>
          <cell r="B658" t="str">
            <v>Wholesale</v>
          </cell>
          <cell r="C658">
            <v>5</v>
          </cell>
          <cell r="F658" t="str">
            <v>5023</v>
          </cell>
          <cell r="G658" t="str">
            <v>Wholesale</v>
          </cell>
          <cell r="H658">
            <v>5</v>
          </cell>
        </row>
        <row r="659">
          <cell r="A659" t="str">
            <v>5031</v>
          </cell>
          <cell r="B659" t="str">
            <v>Wholesale</v>
          </cell>
          <cell r="C659">
            <v>10</v>
          </cell>
          <cell r="F659" t="str">
            <v>5031</v>
          </cell>
          <cell r="G659" t="str">
            <v>Wholesale</v>
          </cell>
          <cell r="H659">
            <v>7</v>
          </cell>
        </row>
        <row r="660">
          <cell r="A660" t="str">
            <v>5032</v>
          </cell>
          <cell r="B660" t="str">
            <v>Wholesale</v>
          </cell>
          <cell r="C660">
            <v>3</v>
          </cell>
          <cell r="F660" t="str">
            <v>5032</v>
          </cell>
          <cell r="G660" t="str">
            <v>Wholesale</v>
          </cell>
          <cell r="H660">
            <v>3</v>
          </cell>
        </row>
        <row r="661">
          <cell r="A661" t="str">
            <v>5033</v>
          </cell>
          <cell r="B661" t="str">
            <v>Wholesale</v>
          </cell>
          <cell r="C661">
            <v>7</v>
          </cell>
          <cell r="F661" t="str">
            <v>5033</v>
          </cell>
          <cell r="G661" t="str">
            <v>Wholesale</v>
          </cell>
          <cell r="H661">
            <v>7</v>
          </cell>
        </row>
        <row r="662">
          <cell r="A662" t="str">
            <v>5039</v>
          </cell>
          <cell r="B662" t="str">
            <v>Wholesale</v>
          </cell>
          <cell r="C662">
            <v>5</v>
          </cell>
          <cell r="F662" t="str">
            <v>5039</v>
          </cell>
          <cell r="G662" t="str">
            <v>Wholesale</v>
          </cell>
          <cell r="H662">
            <v>6</v>
          </cell>
        </row>
        <row r="663">
          <cell r="A663" t="str">
            <v>5043</v>
          </cell>
          <cell r="B663" t="str">
            <v>Wholesale</v>
          </cell>
          <cell r="C663">
            <v>4</v>
          </cell>
          <cell r="F663" t="str">
            <v>5043</v>
          </cell>
          <cell r="G663" t="str">
            <v>Wholesale</v>
          </cell>
          <cell r="H663">
            <v>5</v>
          </cell>
        </row>
        <row r="664">
          <cell r="A664" t="str">
            <v>5044</v>
          </cell>
          <cell r="B664" t="str">
            <v>Wholesale</v>
          </cell>
          <cell r="C664">
            <v>3</v>
          </cell>
          <cell r="F664" t="str">
            <v>5044</v>
          </cell>
          <cell r="G664" t="str">
            <v>Wholesale</v>
          </cell>
          <cell r="H664">
            <v>5</v>
          </cell>
        </row>
        <row r="665">
          <cell r="A665" t="str">
            <v>5045</v>
          </cell>
          <cell r="B665" t="str">
            <v>Wholesale</v>
          </cell>
          <cell r="C665">
            <v>7</v>
          </cell>
          <cell r="F665" t="str">
            <v>5045</v>
          </cell>
          <cell r="G665" t="str">
            <v>Wholesale</v>
          </cell>
          <cell r="H665">
            <v>7</v>
          </cell>
        </row>
        <row r="666">
          <cell r="A666" t="str">
            <v>5046</v>
          </cell>
          <cell r="B666" t="str">
            <v>Wholesale</v>
          </cell>
          <cell r="C666">
            <v>5</v>
          </cell>
          <cell r="F666" t="str">
            <v>5046</v>
          </cell>
          <cell r="G666" t="str">
            <v>Wholesale</v>
          </cell>
          <cell r="H666">
            <v>5</v>
          </cell>
        </row>
        <row r="667">
          <cell r="A667" t="str">
            <v>5047</v>
          </cell>
          <cell r="B667" t="str">
            <v>Wholesale</v>
          </cell>
          <cell r="C667">
            <v>7</v>
          </cell>
          <cell r="F667" t="str">
            <v>5047</v>
          </cell>
          <cell r="G667" t="str">
            <v>Wholesale</v>
          </cell>
          <cell r="H667">
            <v>10</v>
          </cell>
        </row>
        <row r="668">
          <cell r="A668" t="str">
            <v>5048</v>
          </cell>
          <cell r="B668" t="str">
            <v>Wholesale</v>
          </cell>
          <cell r="C668">
            <v>3</v>
          </cell>
          <cell r="F668" t="str">
            <v>5048</v>
          </cell>
          <cell r="G668" t="str">
            <v>Wholesale</v>
          </cell>
          <cell r="H668">
            <v>3</v>
          </cell>
        </row>
        <row r="669">
          <cell r="A669" t="str">
            <v>5049</v>
          </cell>
          <cell r="B669" t="str">
            <v>Wholesale</v>
          </cell>
          <cell r="C669">
            <v>5</v>
          </cell>
          <cell r="F669" t="str">
            <v>5049</v>
          </cell>
          <cell r="G669" t="str">
            <v>Wholesale</v>
          </cell>
          <cell r="H669">
            <v>5</v>
          </cell>
        </row>
        <row r="670">
          <cell r="A670" t="str">
            <v>5051</v>
          </cell>
          <cell r="B670" t="str">
            <v>Wholesale</v>
          </cell>
          <cell r="C670">
            <v>7</v>
          </cell>
          <cell r="F670" t="str">
            <v>5051</v>
          </cell>
          <cell r="G670" t="str">
            <v>Wholesale</v>
          </cell>
          <cell r="H670">
            <v>3</v>
          </cell>
        </row>
        <row r="671">
          <cell r="A671" t="str">
            <v>5052</v>
          </cell>
          <cell r="B671" t="str">
            <v>Wholesale</v>
          </cell>
          <cell r="C671">
            <v>8</v>
          </cell>
          <cell r="F671" t="str">
            <v>5052</v>
          </cell>
          <cell r="G671" t="str">
            <v>Wholesale</v>
          </cell>
          <cell r="H671">
            <v>10</v>
          </cell>
        </row>
        <row r="672">
          <cell r="A672" t="str">
            <v>5063</v>
          </cell>
          <cell r="B672" t="str">
            <v>Wholesale</v>
          </cell>
          <cell r="C672">
            <v>8</v>
          </cell>
          <cell r="F672" t="str">
            <v>5063</v>
          </cell>
          <cell r="G672" t="str">
            <v>Wholesale</v>
          </cell>
          <cell r="H672">
            <v>10</v>
          </cell>
        </row>
        <row r="673">
          <cell r="A673" t="str">
            <v>5064</v>
          </cell>
          <cell r="B673" t="str">
            <v>Wholesale</v>
          </cell>
          <cell r="C673">
            <v>3</v>
          </cell>
          <cell r="F673" t="str">
            <v>5064</v>
          </cell>
          <cell r="G673" t="str">
            <v>Wholesale</v>
          </cell>
          <cell r="H673">
            <v>8</v>
          </cell>
        </row>
        <row r="674">
          <cell r="A674" t="str">
            <v>5065</v>
          </cell>
          <cell r="B674" t="str">
            <v>Wholesale</v>
          </cell>
          <cell r="C674">
            <v>3</v>
          </cell>
          <cell r="F674" t="str">
            <v>5065</v>
          </cell>
          <cell r="G674" t="str">
            <v>Wholesale</v>
          </cell>
          <cell r="H674">
            <v>8</v>
          </cell>
        </row>
        <row r="675">
          <cell r="A675" t="str">
            <v>5072</v>
          </cell>
          <cell r="B675" t="str">
            <v>Wholesale</v>
          </cell>
          <cell r="C675">
            <v>2</v>
          </cell>
          <cell r="F675" t="str">
            <v>5072</v>
          </cell>
          <cell r="G675" t="str">
            <v>Wholesale</v>
          </cell>
          <cell r="H675">
            <v>7</v>
          </cell>
        </row>
        <row r="676">
          <cell r="A676" t="str">
            <v>5074</v>
          </cell>
          <cell r="B676" t="str">
            <v>Wholesale</v>
          </cell>
          <cell r="C676">
            <v>4</v>
          </cell>
          <cell r="F676" t="str">
            <v>5074</v>
          </cell>
          <cell r="G676" t="str">
            <v>Wholesale</v>
          </cell>
          <cell r="H676">
            <v>8</v>
          </cell>
        </row>
        <row r="677">
          <cell r="A677" t="str">
            <v>5075</v>
          </cell>
          <cell r="B677" t="str">
            <v>Wholesale</v>
          </cell>
          <cell r="C677">
            <v>5</v>
          </cell>
          <cell r="F677" t="str">
            <v>5075</v>
          </cell>
          <cell r="G677" t="str">
            <v>Wholesale</v>
          </cell>
          <cell r="H677">
            <v>7</v>
          </cell>
        </row>
        <row r="678">
          <cell r="A678" t="str">
            <v>5078</v>
          </cell>
          <cell r="B678" t="str">
            <v>Wholesale</v>
          </cell>
          <cell r="C678">
            <v>3</v>
          </cell>
          <cell r="F678" t="str">
            <v>5078</v>
          </cell>
          <cell r="G678" t="str">
            <v>Wholesale</v>
          </cell>
          <cell r="H678">
            <v>6</v>
          </cell>
        </row>
        <row r="679">
          <cell r="A679" t="str">
            <v>5082</v>
          </cell>
          <cell r="B679" t="str">
            <v>Wholesale</v>
          </cell>
          <cell r="C679">
            <v>7</v>
          </cell>
          <cell r="F679" t="str">
            <v>5082</v>
          </cell>
          <cell r="G679" t="str">
            <v>Wholesale</v>
          </cell>
          <cell r="H679">
            <v>10</v>
          </cell>
        </row>
        <row r="680">
          <cell r="A680" t="str">
            <v>5083</v>
          </cell>
          <cell r="B680" t="str">
            <v>Wholesale</v>
          </cell>
          <cell r="C680">
            <v>6</v>
          </cell>
          <cell r="F680" t="str">
            <v>5083</v>
          </cell>
          <cell r="G680" t="str">
            <v>Wholesale</v>
          </cell>
          <cell r="H680">
            <v>9</v>
          </cell>
        </row>
        <row r="681">
          <cell r="A681" t="str">
            <v>5084</v>
          </cell>
          <cell r="B681" t="str">
            <v>Wholesale</v>
          </cell>
          <cell r="C681">
            <v>6</v>
          </cell>
          <cell r="F681" t="str">
            <v>5084</v>
          </cell>
          <cell r="G681" t="str">
            <v>Wholesale</v>
          </cell>
          <cell r="H681">
            <v>10</v>
          </cell>
        </row>
        <row r="682">
          <cell r="A682" t="str">
            <v>5085</v>
          </cell>
          <cell r="B682" t="str">
            <v>Wholesale</v>
          </cell>
          <cell r="C682">
            <v>5</v>
          </cell>
          <cell r="F682" t="str">
            <v>5085</v>
          </cell>
          <cell r="G682" t="str">
            <v>Wholesale</v>
          </cell>
          <cell r="H682">
            <v>7</v>
          </cell>
        </row>
        <row r="683">
          <cell r="A683" t="str">
            <v>5087</v>
          </cell>
          <cell r="B683" t="str">
            <v>Wholesale</v>
          </cell>
          <cell r="C683">
            <v>5</v>
          </cell>
          <cell r="F683" t="str">
            <v>5087</v>
          </cell>
          <cell r="G683" t="str">
            <v>Wholesale</v>
          </cell>
          <cell r="H683">
            <v>5</v>
          </cell>
        </row>
        <row r="684">
          <cell r="A684" t="str">
            <v>5088</v>
          </cell>
          <cell r="B684" t="str">
            <v>Wholesale</v>
          </cell>
          <cell r="C684" t="str">
            <v>NA</v>
          </cell>
          <cell r="F684" t="str">
            <v>5088</v>
          </cell>
          <cell r="G684" t="str">
            <v>Wholesale</v>
          </cell>
          <cell r="H684" t="str">
            <v>NA</v>
          </cell>
        </row>
        <row r="685">
          <cell r="A685" t="str">
            <v>5091</v>
          </cell>
          <cell r="B685" t="str">
            <v>Wholesale</v>
          </cell>
          <cell r="C685">
            <v>7</v>
          </cell>
          <cell r="F685" t="str">
            <v>5091</v>
          </cell>
          <cell r="G685" t="str">
            <v>Wholesale</v>
          </cell>
          <cell r="H685">
            <v>8</v>
          </cell>
        </row>
        <row r="686">
          <cell r="A686" t="str">
            <v>5092</v>
          </cell>
          <cell r="B686" t="str">
            <v>Wholesale</v>
          </cell>
          <cell r="C686">
            <v>4</v>
          </cell>
          <cell r="F686" t="str">
            <v>5092</v>
          </cell>
          <cell r="G686" t="str">
            <v>Wholesale</v>
          </cell>
          <cell r="H686">
            <v>8</v>
          </cell>
        </row>
        <row r="687">
          <cell r="A687" t="str">
            <v>5093</v>
          </cell>
          <cell r="B687" t="str">
            <v>Wholesale</v>
          </cell>
          <cell r="C687">
            <v>8</v>
          </cell>
          <cell r="F687" t="str">
            <v>5093</v>
          </cell>
          <cell r="G687" t="str">
            <v>Wholesale</v>
          </cell>
          <cell r="H687">
            <v>7</v>
          </cell>
        </row>
        <row r="688">
          <cell r="A688" t="str">
            <v>5094</v>
          </cell>
          <cell r="B688" t="str">
            <v>Wholesale</v>
          </cell>
          <cell r="C688">
            <v>9</v>
          </cell>
          <cell r="F688" t="str">
            <v>5094</v>
          </cell>
          <cell r="G688" t="str">
            <v>Wholesale</v>
          </cell>
          <cell r="H688">
            <v>3</v>
          </cell>
        </row>
        <row r="689">
          <cell r="A689" t="str">
            <v>5099</v>
          </cell>
          <cell r="B689" t="str">
            <v>Wholesale</v>
          </cell>
          <cell r="C689">
            <v>5</v>
          </cell>
          <cell r="F689" t="str">
            <v>5099</v>
          </cell>
          <cell r="G689" t="str">
            <v>Wholesale</v>
          </cell>
          <cell r="H689">
            <v>5</v>
          </cell>
        </row>
        <row r="690">
          <cell r="A690" t="str">
            <v>5111</v>
          </cell>
          <cell r="B690" t="str">
            <v>Wholesale</v>
          </cell>
          <cell r="C690">
            <v>7</v>
          </cell>
          <cell r="F690" t="str">
            <v>5111</v>
          </cell>
          <cell r="G690" t="str">
            <v>Wholesale</v>
          </cell>
          <cell r="H690">
            <v>2</v>
          </cell>
        </row>
        <row r="691">
          <cell r="A691" t="str">
            <v>5112</v>
          </cell>
          <cell r="B691" t="str">
            <v>Wholesale</v>
          </cell>
          <cell r="C691">
            <v>6</v>
          </cell>
          <cell r="F691" t="str">
            <v>5112</v>
          </cell>
          <cell r="G691" t="str">
            <v>Wholesale</v>
          </cell>
          <cell r="H691">
            <v>2</v>
          </cell>
        </row>
        <row r="692">
          <cell r="A692" t="str">
            <v>5113</v>
          </cell>
          <cell r="B692" t="str">
            <v>Wholesale</v>
          </cell>
          <cell r="C692">
            <v>8</v>
          </cell>
          <cell r="F692" t="str">
            <v>5113</v>
          </cell>
          <cell r="G692" t="str">
            <v>Wholesale</v>
          </cell>
          <cell r="H692">
            <v>4</v>
          </cell>
        </row>
        <row r="693">
          <cell r="A693" t="str">
            <v>5122</v>
          </cell>
          <cell r="B693" t="str">
            <v>Wholesale</v>
          </cell>
          <cell r="C693">
            <v>6</v>
          </cell>
          <cell r="F693" t="str">
            <v>5122</v>
          </cell>
          <cell r="G693" t="str">
            <v>Wholesale</v>
          </cell>
          <cell r="H693">
            <v>9</v>
          </cell>
        </row>
        <row r="694">
          <cell r="A694" t="str">
            <v>5131</v>
          </cell>
          <cell r="B694" t="str">
            <v>Wholesale</v>
          </cell>
          <cell r="C694">
            <v>7</v>
          </cell>
          <cell r="F694" t="str">
            <v>5131</v>
          </cell>
          <cell r="G694" t="str">
            <v>Wholesale</v>
          </cell>
          <cell r="H694">
            <v>3</v>
          </cell>
        </row>
        <row r="695">
          <cell r="A695" t="str">
            <v>5136</v>
          </cell>
          <cell r="B695" t="str">
            <v>Wholesale</v>
          </cell>
          <cell r="C695">
            <v>5</v>
          </cell>
          <cell r="F695" t="str">
            <v>5136</v>
          </cell>
          <cell r="G695" t="str">
            <v>Wholesale</v>
          </cell>
          <cell r="H695">
            <v>3</v>
          </cell>
        </row>
        <row r="696">
          <cell r="A696" t="str">
            <v>5137</v>
          </cell>
          <cell r="B696" t="str">
            <v>Wholesale</v>
          </cell>
          <cell r="C696">
            <v>5</v>
          </cell>
          <cell r="F696" t="str">
            <v>5137</v>
          </cell>
          <cell r="G696" t="str">
            <v>Wholesale</v>
          </cell>
          <cell r="H696">
            <v>5</v>
          </cell>
        </row>
        <row r="697">
          <cell r="A697" t="str">
            <v>5139</v>
          </cell>
          <cell r="B697" t="str">
            <v>Wholesale</v>
          </cell>
          <cell r="C697">
            <v>3</v>
          </cell>
          <cell r="F697" t="str">
            <v>5139</v>
          </cell>
          <cell r="G697" t="str">
            <v>Wholesale</v>
          </cell>
          <cell r="H697">
            <v>3</v>
          </cell>
        </row>
        <row r="698">
          <cell r="A698" t="str">
            <v>5141</v>
          </cell>
          <cell r="B698" t="str">
            <v>Wholesale</v>
          </cell>
          <cell r="C698">
            <v>3</v>
          </cell>
          <cell r="F698" t="str">
            <v>5141</v>
          </cell>
          <cell r="G698" t="str">
            <v>Wholesale</v>
          </cell>
          <cell r="H698">
            <v>3</v>
          </cell>
        </row>
        <row r="699">
          <cell r="A699" t="str">
            <v>5142</v>
          </cell>
          <cell r="B699" t="str">
            <v>Wholesale</v>
          </cell>
          <cell r="C699">
            <v>5</v>
          </cell>
          <cell r="F699" t="str">
            <v>5142</v>
          </cell>
          <cell r="G699" t="str">
            <v>Wholesale</v>
          </cell>
          <cell r="H699">
            <v>3</v>
          </cell>
        </row>
        <row r="700">
          <cell r="A700" t="str">
            <v>5143</v>
          </cell>
          <cell r="B700" t="str">
            <v>Wholesale</v>
          </cell>
          <cell r="C700">
            <v>5</v>
          </cell>
          <cell r="F700" t="str">
            <v>5143</v>
          </cell>
          <cell r="G700" t="str">
            <v>Wholesale</v>
          </cell>
          <cell r="H700">
            <v>8</v>
          </cell>
        </row>
        <row r="701">
          <cell r="A701" t="str">
            <v>5144</v>
          </cell>
          <cell r="B701" t="str">
            <v>Wholesale</v>
          </cell>
          <cell r="C701">
            <v>9</v>
          </cell>
          <cell r="F701" t="str">
            <v>5144</v>
          </cell>
          <cell r="G701" t="str">
            <v>Wholesale</v>
          </cell>
          <cell r="H701">
            <v>9</v>
          </cell>
        </row>
        <row r="702">
          <cell r="A702" t="str">
            <v>5145</v>
          </cell>
          <cell r="B702" t="str">
            <v>Wholesale</v>
          </cell>
          <cell r="C702">
            <v>3</v>
          </cell>
          <cell r="F702" t="str">
            <v>5145</v>
          </cell>
          <cell r="G702" t="str">
            <v>Wholesale</v>
          </cell>
          <cell r="H702">
            <v>2</v>
          </cell>
        </row>
        <row r="703">
          <cell r="A703" t="str">
            <v>5146</v>
          </cell>
          <cell r="B703" t="str">
            <v>Wholesale</v>
          </cell>
          <cell r="C703">
            <v>7</v>
          </cell>
          <cell r="F703" t="str">
            <v>5146</v>
          </cell>
          <cell r="G703" t="str">
            <v>Wholesale</v>
          </cell>
          <cell r="H703">
            <v>8</v>
          </cell>
        </row>
        <row r="704">
          <cell r="A704" t="str">
            <v>5147</v>
          </cell>
          <cell r="B704" t="str">
            <v>Wholesale</v>
          </cell>
          <cell r="C704">
            <v>8</v>
          </cell>
          <cell r="F704" t="str">
            <v>5147</v>
          </cell>
          <cell r="G704" t="str">
            <v>Wholesale</v>
          </cell>
          <cell r="H704">
            <v>8</v>
          </cell>
        </row>
        <row r="705">
          <cell r="A705" t="str">
            <v>5148</v>
          </cell>
          <cell r="B705" t="str">
            <v>Wholesale</v>
          </cell>
          <cell r="C705">
            <v>3</v>
          </cell>
          <cell r="F705" t="str">
            <v>5148</v>
          </cell>
          <cell r="G705" t="str">
            <v>Wholesale</v>
          </cell>
          <cell r="H705">
            <v>4</v>
          </cell>
        </row>
        <row r="706">
          <cell r="A706" t="str">
            <v>5149</v>
          </cell>
          <cell r="B706" t="str">
            <v>Wholesale</v>
          </cell>
          <cell r="C706">
            <v>5</v>
          </cell>
          <cell r="F706" t="str">
            <v>5149</v>
          </cell>
          <cell r="G706" t="str">
            <v>Wholesale</v>
          </cell>
          <cell r="H706">
            <v>5</v>
          </cell>
        </row>
        <row r="707">
          <cell r="A707" t="str">
            <v>5153</v>
          </cell>
          <cell r="B707" t="str">
            <v>Wholesale</v>
          </cell>
          <cell r="C707" t="str">
            <v>NA</v>
          </cell>
          <cell r="F707" t="str">
            <v>5153</v>
          </cell>
          <cell r="G707" t="str">
            <v>Wholesale</v>
          </cell>
          <cell r="H707" t="str">
            <v>NA</v>
          </cell>
        </row>
        <row r="708">
          <cell r="A708" t="str">
            <v>5154</v>
          </cell>
          <cell r="B708" t="str">
            <v>Wholesale</v>
          </cell>
          <cell r="C708" t="str">
            <v>NA</v>
          </cell>
          <cell r="F708" t="str">
            <v>5154</v>
          </cell>
          <cell r="G708" t="str">
            <v>Wholesale</v>
          </cell>
          <cell r="H708" t="str">
            <v>NA</v>
          </cell>
        </row>
        <row r="709">
          <cell r="A709" t="str">
            <v>5159</v>
          </cell>
          <cell r="B709" t="str">
            <v>Wholesale</v>
          </cell>
          <cell r="C709" t="str">
            <v>NA</v>
          </cell>
          <cell r="F709" t="str">
            <v>5159</v>
          </cell>
          <cell r="G709" t="str">
            <v>Wholesale</v>
          </cell>
          <cell r="H709" t="str">
            <v>NA</v>
          </cell>
        </row>
        <row r="710">
          <cell r="A710" t="str">
            <v>5162</v>
          </cell>
          <cell r="B710" t="str">
            <v>Wholesale</v>
          </cell>
          <cell r="C710">
            <v>5</v>
          </cell>
          <cell r="F710" t="str">
            <v>5162</v>
          </cell>
          <cell r="G710" t="str">
            <v>Wholesale</v>
          </cell>
          <cell r="H710">
            <v>5</v>
          </cell>
        </row>
        <row r="711">
          <cell r="A711" t="str">
            <v>5169</v>
          </cell>
          <cell r="B711" t="str">
            <v>Wholesale</v>
          </cell>
          <cell r="C711" t="str">
            <v>NA</v>
          </cell>
          <cell r="F711" t="str">
            <v>5169</v>
          </cell>
          <cell r="G711" t="str">
            <v>Wholesale</v>
          </cell>
          <cell r="H711" t="str">
            <v>NA</v>
          </cell>
        </row>
        <row r="712">
          <cell r="A712" t="str">
            <v>5171</v>
          </cell>
          <cell r="B712" t="str">
            <v>Wholesale</v>
          </cell>
          <cell r="C712" t="str">
            <v>NA</v>
          </cell>
          <cell r="F712" t="str">
            <v>5171</v>
          </cell>
          <cell r="G712" t="str">
            <v>Wholesale</v>
          </cell>
          <cell r="H712" t="str">
            <v>NA</v>
          </cell>
        </row>
        <row r="713">
          <cell r="A713" t="str">
            <v>5172</v>
          </cell>
          <cell r="B713" t="str">
            <v>Wholesale</v>
          </cell>
          <cell r="C713" t="str">
            <v>NA</v>
          </cell>
          <cell r="F713" t="str">
            <v>5172</v>
          </cell>
          <cell r="G713" t="str">
            <v>Wholesale</v>
          </cell>
          <cell r="H713" t="str">
            <v>NA</v>
          </cell>
        </row>
        <row r="714">
          <cell r="A714" t="str">
            <v>5181</v>
          </cell>
          <cell r="B714" t="str">
            <v>Wholesale</v>
          </cell>
          <cell r="C714">
            <v>7</v>
          </cell>
          <cell r="F714" t="str">
            <v>5181</v>
          </cell>
          <cell r="G714" t="str">
            <v>Wholesale</v>
          </cell>
          <cell r="H714">
            <v>5</v>
          </cell>
        </row>
        <row r="715">
          <cell r="A715" t="str">
            <v>5182</v>
          </cell>
          <cell r="B715" t="str">
            <v>Wholesale</v>
          </cell>
          <cell r="C715">
            <v>8</v>
          </cell>
          <cell r="F715" t="str">
            <v>5182</v>
          </cell>
          <cell r="G715" t="str">
            <v>Wholesale</v>
          </cell>
          <cell r="H715">
            <v>5</v>
          </cell>
        </row>
        <row r="716">
          <cell r="A716" t="str">
            <v>5191</v>
          </cell>
          <cell r="B716" t="str">
            <v>Wholesale</v>
          </cell>
          <cell r="C716">
            <v>10</v>
          </cell>
          <cell r="F716" t="str">
            <v>5191</v>
          </cell>
          <cell r="G716" t="str">
            <v>Wholesale</v>
          </cell>
          <cell r="H716">
            <v>10</v>
          </cell>
        </row>
        <row r="717">
          <cell r="A717" t="str">
            <v>5192</v>
          </cell>
          <cell r="B717" t="str">
            <v>Wholesale</v>
          </cell>
          <cell r="C717">
            <v>6</v>
          </cell>
          <cell r="F717" t="str">
            <v>5192</v>
          </cell>
          <cell r="G717" t="str">
            <v>Wholesale</v>
          </cell>
          <cell r="H717">
            <v>3</v>
          </cell>
        </row>
        <row r="718">
          <cell r="A718" t="str">
            <v>5193</v>
          </cell>
          <cell r="B718" t="str">
            <v>Wholesale</v>
          </cell>
          <cell r="C718">
            <v>4</v>
          </cell>
          <cell r="F718" t="str">
            <v>5193</v>
          </cell>
          <cell r="G718" t="str">
            <v>Wholesale</v>
          </cell>
          <cell r="H718">
            <v>2</v>
          </cell>
        </row>
        <row r="719">
          <cell r="A719" t="str">
            <v>5194</v>
          </cell>
          <cell r="B719" t="str">
            <v>Wholesale</v>
          </cell>
          <cell r="C719" t="str">
            <v>NA</v>
          </cell>
          <cell r="F719" t="str">
            <v>5194</v>
          </cell>
          <cell r="G719" t="str">
            <v>Wholesale</v>
          </cell>
          <cell r="H719" t="str">
            <v>NA</v>
          </cell>
        </row>
        <row r="720">
          <cell r="A720" t="str">
            <v>5198</v>
          </cell>
          <cell r="B720" t="str">
            <v>Wholesale</v>
          </cell>
          <cell r="C720">
            <v>10</v>
          </cell>
          <cell r="F720" t="str">
            <v>5198</v>
          </cell>
          <cell r="G720" t="str">
            <v>Wholesale</v>
          </cell>
          <cell r="H720">
            <v>10</v>
          </cell>
        </row>
        <row r="721">
          <cell r="A721" t="str">
            <v>5199</v>
          </cell>
          <cell r="B721" t="str">
            <v>Wholesale</v>
          </cell>
          <cell r="C721">
            <v>5</v>
          </cell>
          <cell r="F721" t="str">
            <v>5199</v>
          </cell>
          <cell r="G721" t="str">
            <v>Wholesale</v>
          </cell>
          <cell r="H721">
            <v>5</v>
          </cell>
        </row>
        <row r="722">
          <cell r="A722" t="str">
            <v>5211</v>
          </cell>
          <cell r="B722" t="str">
            <v>Retail</v>
          </cell>
          <cell r="C722">
            <v>9</v>
          </cell>
          <cell r="F722" t="str">
            <v>5211</v>
          </cell>
          <cell r="G722" t="str">
            <v>Retail</v>
          </cell>
          <cell r="H722">
            <v>9</v>
          </cell>
        </row>
        <row r="723">
          <cell r="A723" t="str">
            <v>5231</v>
          </cell>
          <cell r="B723" t="str">
            <v>Retail</v>
          </cell>
          <cell r="C723">
            <v>7</v>
          </cell>
          <cell r="F723" t="str">
            <v>5231</v>
          </cell>
          <cell r="G723" t="str">
            <v>Retail</v>
          </cell>
          <cell r="H723">
            <v>4</v>
          </cell>
        </row>
        <row r="724">
          <cell r="A724" t="str">
            <v>5251</v>
          </cell>
          <cell r="B724" t="str">
            <v>Retail</v>
          </cell>
          <cell r="C724">
            <v>5</v>
          </cell>
          <cell r="F724" t="str">
            <v>5251</v>
          </cell>
          <cell r="G724" t="str">
            <v>Retail</v>
          </cell>
          <cell r="H724">
            <v>5</v>
          </cell>
        </row>
        <row r="725">
          <cell r="A725" t="str">
            <v>5261</v>
          </cell>
          <cell r="B725" t="str">
            <v>Retail</v>
          </cell>
          <cell r="C725">
            <v>7</v>
          </cell>
          <cell r="F725" t="str">
            <v>5261</v>
          </cell>
          <cell r="G725" t="str">
            <v>Retail</v>
          </cell>
          <cell r="H725">
            <v>5</v>
          </cell>
        </row>
        <row r="726">
          <cell r="A726" t="str">
            <v>5262</v>
          </cell>
          <cell r="B726" t="str">
            <v>Retail</v>
          </cell>
          <cell r="C726">
            <v>10</v>
          </cell>
          <cell r="F726" t="str">
            <v>5262</v>
          </cell>
          <cell r="G726" t="str">
            <v>Retail</v>
          </cell>
          <cell r="H726">
            <v>9</v>
          </cell>
        </row>
        <row r="727">
          <cell r="A727" t="str">
            <v>5263</v>
          </cell>
          <cell r="B727" t="str">
            <v>Retail</v>
          </cell>
          <cell r="C727">
            <v>9</v>
          </cell>
          <cell r="F727" t="str">
            <v>5263</v>
          </cell>
          <cell r="G727" t="str">
            <v>Retail</v>
          </cell>
          <cell r="H727">
            <v>10</v>
          </cell>
        </row>
        <row r="728">
          <cell r="A728" t="str">
            <v>5271</v>
          </cell>
          <cell r="B728" t="str">
            <v>Retail</v>
          </cell>
          <cell r="C728" t="str">
            <v>NA</v>
          </cell>
          <cell r="F728" t="str">
            <v>5271</v>
          </cell>
          <cell r="G728" t="str">
            <v>Retail</v>
          </cell>
          <cell r="H728" t="str">
            <v>NA</v>
          </cell>
        </row>
        <row r="729">
          <cell r="A729" t="str">
            <v>5311</v>
          </cell>
          <cell r="B729" t="str">
            <v>Retail</v>
          </cell>
          <cell r="C729">
            <v>5</v>
          </cell>
          <cell r="F729" t="str">
            <v>5311</v>
          </cell>
          <cell r="G729" t="str">
            <v>Retail</v>
          </cell>
          <cell r="H729">
            <v>5</v>
          </cell>
        </row>
        <row r="730">
          <cell r="A730" t="str">
            <v>5331</v>
          </cell>
          <cell r="B730" t="str">
            <v>Retail</v>
          </cell>
          <cell r="C730">
            <v>4</v>
          </cell>
          <cell r="F730" t="str">
            <v>5331</v>
          </cell>
          <cell r="G730" t="str">
            <v>Retail</v>
          </cell>
          <cell r="H730">
            <v>4</v>
          </cell>
        </row>
        <row r="731">
          <cell r="A731" t="str">
            <v>5399</v>
          </cell>
          <cell r="B731" t="str">
            <v>Retail</v>
          </cell>
          <cell r="C731">
            <v>5</v>
          </cell>
          <cell r="F731" t="str">
            <v>5399</v>
          </cell>
          <cell r="G731" t="str">
            <v>Retail</v>
          </cell>
          <cell r="H731">
            <v>5</v>
          </cell>
        </row>
        <row r="732">
          <cell r="A732" t="str">
            <v>5411</v>
          </cell>
          <cell r="B732" t="str">
            <v>Retail</v>
          </cell>
          <cell r="C732">
            <v>7</v>
          </cell>
          <cell r="F732" t="str">
            <v>5411</v>
          </cell>
          <cell r="G732" t="str">
            <v>Retail</v>
          </cell>
          <cell r="H732">
            <v>7</v>
          </cell>
        </row>
        <row r="733">
          <cell r="A733" t="str">
            <v>5421</v>
          </cell>
          <cell r="B733" t="str">
            <v>Retail</v>
          </cell>
          <cell r="C733">
            <v>6</v>
          </cell>
          <cell r="F733" t="str">
            <v>5421</v>
          </cell>
          <cell r="G733" t="str">
            <v>Retail</v>
          </cell>
          <cell r="H733">
            <v>7</v>
          </cell>
        </row>
        <row r="734">
          <cell r="A734" t="str">
            <v>5431</v>
          </cell>
          <cell r="B734" t="str">
            <v>Retail</v>
          </cell>
          <cell r="C734">
            <v>6</v>
          </cell>
          <cell r="F734" t="str">
            <v>5431</v>
          </cell>
          <cell r="G734" t="str">
            <v>Retail</v>
          </cell>
          <cell r="H734">
            <v>3</v>
          </cell>
        </row>
        <row r="735">
          <cell r="A735" t="str">
            <v>5441</v>
          </cell>
          <cell r="B735" t="str">
            <v>Retail</v>
          </cell>
          <cell r="C735">
            <v>3</v>
          </cell>
          <cell r="F735" t="str">
            <v>5441</v>
          </cell>
          <cell r="G735" t="str">
            <v>Retail</v>
          </cell>
          <cell r="H735">
            <v>3</v>
          </cell>
        </row>
        <row r="736">
          <cell r="A736" t="str">
            <v>5451</v>
          </cell>
          <cell r="B736" t="str">
            <v>Retail</v>
          </cell>
          <cell r="C736">
            <v>6</v>
          </cell>
          <cell r="F736" t="str">
            <v>5451</v>
          </cell>
          <cell r="G736" t="str">
            <v>Retail</v>
          </cell>
          <cell r="H736">
            <v>7</v>
          </cell>
        </row>
        <row r="737">
          <cell r="A737" t="str">
            <v>5461</v>
          </cell>
          <cell r="B737" t="str">
            <v>Retail</v>
          </cell>
          <cell r="C737">
            <v>5</v>
          </cell>
          <cell r="F737" t="str">
            <v>5461</v>
          </cell>
          <cell r="G737" t="str">
            <v>Retail</v>
          </cell>
          <cell r="H737">
            <v>4</v>
          </cell>
        </row>
        <row r="738">
          <cell r="A738" t="str">
            <v>5499</v>
          </cell>
          <cell r="B738" t="str">
            <v>Retail</v>
          </cell>
          <cell r="C738">
            <v>6</v>
          </cell>
          <cell r="F738" t="str">
            <v>5499</v>
          </cell>
          <cell r="G738" t="str">
            <v>Retail</v>
          </cell>
          <cell r="H738">
            <v>6</v>
          </cell>
        </row>
        <row r="739">
          <cell r="A739" t="str">
            <v>5511</v>
          </cell>
          <cell r="B739" t="str">
            <v>Retail</v>
          </cell>
          <cell r="C739" t="str">
            <v>NA</v>
          </cell>
          <cell r="F739" t="str">
            <v>5511</v>
          </cell>
          <cell r="G739" t="str">
            <v>Retail</v>
          </cell>
          <cell r="H739" t="str">
            <v>NA</v>
          </cell>
        </row>
        <row r="740">
          <cell r="A740" t="str">
            <v>5521</v>
          </cell>
          <cell r="B740" t="str">
            <v>Retail</v>
          </cell>
          <cell r="C740" t="str">
            <v>NA</v>
          </cell>
          <cell r="F740" t="str">
            <v>5521</v>
          </cell>
          <cell r="G740" t="str">
            <v>Retail</v>
          </cell>
          <cell r="H740" t="str">
            <v>NA</v>
          </cell>
        </row>
        <row r="741">
          <cell r="A741" t="str">
            <v>5531</v>
          </cell>
          <cell r="B741" t="str">
            <v>Retail</v>
          </cell>
          <cell r="C741">
            <v>6</v>
          </cell>
          <cell r="F741" t="str">
            <v>5531</v>
          </cell>
          <cell r="G741" t="str">
            <v>Retail</v>
          </cell>
          <cell r="H741">
            <v>5</v>
          </cell>
        </row>
        <row r="742">
          <cell r="A742" t="str">
            <v>5541</v>
          </cell>
          <cell r="B742" t="str">
            <v>Retail</v>
          </cell>
          <cell r="C742">
            <v>8</v>
          </cell>
          <cell r="F742" t="str">
            <v>5541</v>
          </cell>
          <cell r="G742" t="str">
            <v>Retail</v>
          </cell>
          <cell r="H742">
            <v>9</v>
          </cell>
        </row>
        <row r="743">
          <cell r="A743" t="str">
            <v>5551</v>
          </cell>
          <cell r="B743" t="str">
            <v>Retail</v>
          </cell>
          <cell r="C743" t="str">
            <v>NA</v>
          </cell>
          <cell r="F743" t="str">
            <v>5551</v>
          </cell>
          <cell r="G743" t="str">
            <v>Retail</v>
          </cell>
          <cell r="H743" t="str">
            <v>NA</v>
          </cell>
        </row>
        <row r="744">
          <cell r="A744" t="str">
            <v>5561</v>
          </cell>
          <cell r="B744" t="str">
            <v>Retail</v>
          </cell>
          <cell r="C744" t="str">
            <v>NA</v>
          </cell>
          <cell r="F744" t="str">
            <v>5561</v>
          </cell>
          <cell r="G744" t="str">
            <v>Retail</v>
          </cell>
          <cell r="H744" t="str">
            <v>NA</v>
          </cell>
        </row>
        <row r="745">
          <cell r="A745" t="str">
            <v>5571</v>
          </cell>
          <cell r="B745" t="str">
            <v>Retail</v>
          </cell>
          <cell r="C745" t="str">
            <v>NA</v>
          </cell>
          <cell r="F745" t="str">
            <v>5571</v>
          </cell>
          <cell r="G745" t="str">
            <v>Retail</v>
          </cell>
          <cell r="H745" t="str">
            <v>NA</v>
          </cell>
        </row>
        <row r="746">
          <cell r="A746" t="str">
            <v>5599</v>
          </cell>
          <cell r="B746" t="str">
            <v>Retail</v>
          </cell>
          <cell r="C746" t="str">
            <v>NA</v>
          </cell>
          <cell r="F746" t="str">
            <v>5599</v>
          </cell>
          <cell r="G746" t="str">
            <v>Retail</v>
          </cell>
          <cell r="H746" t="str">
            <v>NA</v>
          </cell>
        </row>
        <row r="747">
          <cell r="A747" t="str">
            <v>5611</v>
          </cell>
          <cell r="B747" t="str">
            <v>Retail</v>
          </cell>
          <cell r="C747">
            <v>5</v>
          </cell>
          <cell r="F747" t="str">
            <v>5611</v>
          </cell>
          <cell r="G747" t="str">
            <v>Retail</v>
          </cell>
          <cell r="H747">
            <v>3</v>
          </cell>
        </row>
        <row r="748">
          <cell r="A748" t="str">
            <v>5621</v>
          </cell>
          <cell r="B748" t="str">
            <v>Retail</v>
          </cell>
          <cell r="C748">
            <v>5</v>
          </cell>
          <cell r="F748" t="str">
            <v>5621</v>
          </cell>
          <cell r="G748" t="str">
            <v>Retail</v>
          </cell>
          <cell r="H748">
            <v>3</v>
          </cell>
        </row>
        <row r="749">
          <cell r="A749" t="str">
            <v>5632</v>
          </cell>
          <cell r="B749" t="str">
            <v>Retail</v>
          </cell>
          <cell r="C749">
            <v>4</v>
          </cell>
          <cell r="F749" t="str">
            <v>5632</v>
          </cell>
          <cell r="G749" t="str">
            <v>Retail</v>
          </cell>
          <cell r="H749">
            <v>3</v>
          </cell>
        </row>
        <row r="750">
          <cell r="A750" t="str">
            <v>5641</v>
          </cell>
          <cell r="B750" t="str">
            <v>Retail</v>
          </cell>
          <cell r="C750">
            <v>4</v>
          </cell>
          <cell r="F750" t="str">
            <v>5641</v>
          </cell>
          <cell r="G750" t="str">
            <v>Retail</v>
          </cell>
          <cell r="H750">
            <v>6</v>
          </cell>
        </row>
        <row r="751">
          <cell r="A751" t="str">
            <v>5651</v>
          </cell>
          <cell r="B751" t="str">
            <v>Retail</v>
          </cell>
          <cell r="C751">
            <v>4</v>
          </cell>
          <cell r="F751" t="str">
            <v>5651</v>
          </cell>
          <cell r="G751" t="str">
            <v>Retail</v>
          </cell>
          <cell r="H751">
            <v>4</v>
          </cell>
        </row>
        <row r="752">
          <cell r="A752" t="str">
            <v>5661</v>
          </cell>
          <cell r="B752" t="str">
            <v>Retail</v>
          </cell>
          <cell r="C752">
            <v>3</v>
          </cell>
          <cell r="F752" t="str">
            <v>5661</v>
          </cell>
          <cell r="G752" t="str">
            <v>Retail</v>
          </cell>
          <cell r="H752">
            <v>3</v>
          </cell>
        </row>
        <row r="753">
          <cell r="A753" t="str">
            <v>5699</v>
          </cell>
          <cell r="B753" t="str">
            <v>Retail</v>
          </cell>
          <cell r="C753">
            <v>4</v>
          </cell>
          <cell r="F753" t="str">
            <v>5699</v>
          </cell>
          <cell r="G753" t="str">
            <v>Retail</v>
          </cell>
          <cell r="H753">
            <v>3</v>
          </cell>
        </row>
        <row r="754">
          <cell r="A754" t="str">
            <v>5712</v>
          </cell>
          <cell r="B754" t="str">
            <v>Retail</v>
          </cell>
          <cell r="C754">
            <v>7</v>
          </cell>
          <cell r="F754" t="str">
            <v>5712</v>
          </cell>
          <cell r="G754" t="str">
            <v>Retail</v>
          </cell>
          <cell r="H754">
            <v>6</v>
          </cell>
        </row>
        <row r="755">
          <cell r="A755" t="str">
            <v>5713</v>
          </cell>
          <cell r="B755" t="str">
            <v>Retail</v>
          </cell>
          <cell r="C755">
            <v>7</v>
          </cell>
          <cell r="F755" t="str">
            <v>5713</v>
          </cell>
          <cell r="G755" t="str">
            <v>Retail</v>
          </cell>
          <cell r="H755">
            <v>5</v>
          </cell>
        </row>
        <row r="756">
          <cell r="A756" t="str">
            <v>5714</v>
          </cell>
          <cell r="B756" t="str">
            <v>Retail</v>
          </cell>
          <cell r="C756">
            <v>8</v>
          </cell>
          <cell r="F756" t="str">
            <v>5714</v>
          </cell>
          <cell r="G756" t="str">
            <v>Retail</v>
          </cell>
          <cell r="H756">
            <v>4</v>
          </cell>
        </row>
        <row r="757">
          <cell r="A757" t="str">
            <v>5719</v>
          </cell>
          <cell r="B757" t="str">
            <v>Retail</v>
          </cell>
          <cell r="C757">
            <v>7</v>
          </cell>
          <cell r="F757" t="str">
            <v>5719</v>
          </cell>
          <cell r="G757" t="str">
            <v>Retail</v>
          </cell>
          <cell r="H757">
            <v>4</v>
          </cell>
        </row>
        <row r="758">
          <cell r="A758" t="str">
            <v>5722</v>
          </cell>
          <cell r="B758" t="str">
            <v>Retail</v>
          </cell>
          <cell r="C758">
            <v>6</v>
          </cell>
          <cell r="F758" t="str">
            <v>5722</v>
          </cell>
          <cell r="G758" t="str">
            <v>Retail</v>
          </cell>
          <cell r="H758">
            <v>4</v>
          </cell>
        </row>
        <row r="759">
          <cell r="A759" t="str">
            <v>5731</v>
          </cell>
          <cell r="B759" t="str">
            <v>Retail</v>
          </cell>
          <cell r="C759">
            <v>8</v>
          </cell>
          <cell r="F759" t="str">
            <v>5731</v>
          </cell>
          <cell r="G759" t="str">
            <v>Retail</v>
          </cell>
          <cell r="H759">
            <v>3</v>
          </cell>
        </row>
        <row r="760">
          <cell r="A760" t="str">
            <v>5734</v>
          </cell>
          <cell r="B760" t="str">
            <v>Retail</v>
          </cell>
          <cell r="C760">
            <v>7</v>
          </cell>
          <cell r="F760" t="str">
            <v>5734</v>
          </cell>
          <cell r="G760" t="str">
            <v>Retail</v>
          </cell>
          <cell r="H760">
            <v>5</v>
          </cell>
        </row>
        <row r="761">
          <cell r="A761" t="str">
            <v>5735</v>
          </cell>
          <cell r="B761" t="str">
            <v>Retail</v>
          </cell>
          <cell r="C761">
            <v>7</v>
          </cell>
          <cell r="F761" t="str">
            <v>5735</v>
          </cell>
          <cell r="G761" t="str">
            <v>Retail</v>
          </cell>
          <cell r="H761">
            <v>3</v>
          </cell>
        </row>
        <row r="762">
          <cell r="A762" t="str">
            <v>5736</v>
          </cell>
          <cell r="B762" t="str">
            <v>Retail</v>
          </cell>
          <cell r="C762">
            <v>7</v>
          </cell>
          <cell r="F762" t="str">
            <v>5736</v>
          </cell>
          <cell r="G762" t="str">
            <v>Retail</v>
          </cell>
          <cell r="H762">
            <v>3</v>
          </cell>
        </row>
        <row r="763">
          <cell r="A763" t="str">
            <v>5812</v>
          </cell>
          <cell r="B763" t="str">
            <v>Retail</v>
          </cell>
          <cell r="C763" t="str">
            <v>NA</v>
          </cell>
          <cell r="F763" t="str">
            <v>5812</v>
          </cell>
          <cell r="G763" t="str">
            <v>Retail</v>
          </cell>
          <cell r="H763" t="str">
            <v>NA</v>
          </cell>
        </row>
        <row r="764">
          <cell r="A764" t="str">
            <v>5813</v>
          </cell>
          <cell r="B764" t="str">
            <v>Retail</v>
          </cell>
          <cell r="C764" t="str">
            <v>NA</v>
          </cell>
          <cell r="F764" t="str">
            <v>5813</v>
          </cell>
          <cell r="G764" t="str">
            <v>Retail</v>
          </cell>
          <cell r="H764" t="str">
            <v>NA</v>
          </cell>
        </row>
        <row r="765">
          <cell r="A765" t="str">
            <v>5912</v>
          </cell>
          <cell r="B765" t="str">
            <v>Retail</v>
          </cell>
          <cell r="C765">
            <v>5</v>
          </cell>
          <cell r="F765" t="str">
            <v>5912</v>
          </cell>
          <cell r="G765" t="str">
            <v>Retail</v>
          </cell>
          <cell r="H765">
            <v>5</v>
          </cell>
        </row>
        <row r="766">
          <cell r="A766" t="str">
            <v xml:space="preserve">5921 </v>
          </cell>
          <cell r="B766" t="str">
            <v>Retail</v>
          </cell>
          <cell r="C766">
            <v>5</v>
          </cell>
          <cell r="F766" t="str">
            <v xml:space="preserve">5921 </v>
          </cell>
          <cell r="G766" t="str">
            <v>Retail</v>
          </cell>
          <cell r="H766">
            <v>5</v>
          </cell>
        </row>
        <row r="767">
          <cell r="A767" t="str">
            <v xml:space="preserve">5932 </v>
          </cell>
          <cell r="B767" t="str">
            <v>Retail</v>
          </cell>
          <cell r="C767">
            <v>8</v>
          </cell>
          <cell r="F767" t="str">
            <v xml:space="preserve">5932 </v>
          </cell>
          <cell r="G767" t="str">
            <v>Retail</v>
          </cell>
          <cell r="H767">
            <v>9</v>
          </cell>
        </row>
        <row r="768">
          <cell r="A768" t="str">
            <v>5941</v>
          </cell>
          <cell r="B768" t="str">
            <v>Retail</v>
          </cell>
          <cell r="C768">
            <v>7</v>
          </cell>
          <cell r="F768" t="str">
            <v>5941</v>
          </cell>
          <cell r="G768" t="str">
            <v>Retail</v>
          </cell>
          <cell r="H768">
            <v>9</v>
          </cell>
        </row>
        <row r="769">
          <cell r="A769" t="str">
            <v>5942</v>
          </cell>
          <cell r="B769" t="str">
            <v>Retail</v>
          </cell>
          <cell r="C769">
            <v>5</v>
          </cell>
          <cell r="F769" t="str">
            <v>5942</v>
          </cell>
          <cell r="G769" t="str">
            <v>Retail</v>
          </cell>
          <cell r="H769">
            <v>3</v>
          </cell>
        </row>
        <row r="770">
          <cell r="A770" t="str">
            <v>5943</v>
          </cell>
          <cell r="B770" t="str">
            <v>Retail</v>
          </cell>
          <cell r="C770">
            <v>5</v>
          </cell>
          <cell r="F770" t="str">
            <v>5943</v>
          </cell>
          <cell r="G770" t="str">
            <v>Retail</v>
          </cell>
          <cell r="H770">
            <v>3</v>
          </cell>
        </row>
        <row r="771">
          <cell r="A771" t="str">
            <v>5944</v>
          </cell>
          <cell r="B771" t="str">
            <v>Retail</v>
          </cell>
          <cell r="C771">
            <v>6</v>
          </cell>
          <cell r="F771" t="str">
            <v>5944</v>
          </cell>
          <cell r="G771" t="str">
            <v>Retail</v>
          </cell>
          <cell r="H771">
            <v>3</v>
          </cell>
        </row>
        <row r="772">
          <cell r="A772" t="str">
            <v>5945</v>
          </cell>
          <cell r="B772" t="str">
            <v>Retail</v>
          </cell>
          <cell r="C772">
            <v>5</v>
          </cell>
          <cell r="F772" t="str">
            <v>5945</v>
          </cell>
          <cell r="G772" t="str">
            <v>Retail</v>
          </cell>
          <cell r="H772">
            <v>5</v>
          </cell>
        </row>
        <row r="773">
          <cell r="A773" t="str">
            <v>5946</v>
          </cell>
          <cell r="B773" t="str">
            <v>Retail</v>
          </cell>
          <cell r="C773">
            <v>5</v>
          </cell>
          <cell r="F773" t="str">
            <v>5946</v>
          </cell>
          <cell r="G773" t="str">
            <v>Retail</v>
          </cell>
          <cell r="H773">
            <v>3</v>
          </cell>
        </row>
        <row r="774">
          <cell r="A774" t="str">
            <v>5947</v>
          </cell>
          <cell r="B774" t="str">
            <v>Retail</v>
          </cell>
          <cell r="C774">
            <v>4</v>
          </cell>
          <cell r="F774" t="str">
            <v>5947</v>
          </cell>
          <cell r="G774" t="str">
            <v>Retail</v>
          </cell>
          <cell r="H774">
            <v>3</v>
          </cell>
        </row>
        <row r="775">
          <cell r="A775" t="str">
            <v>5948</v>
          </cell>
          <cell r="B775" t="str">
            <v>Retail</v>
          </cell>
          <cell r="C775">
            <v>4</v>
          </cell>
          <cell r="F775" t="str">
            <v>5948</v>
          </cell>
          <cell r="G775" t="str">
            <v>Retail</v>
          </cell>
          <cell r="H775">
            <v>2</v>
          </cell>
        </row>
        <row r="776">
          <cell r="A776" t="str">
            <v>5949</v>
          </cell>
          <cell r="B776" t="str">
            <v>Retail</v>
          </cell>
          <cell r="C776">
            <v>5</v>
          </cell>
          <cell r="F776" t="str">
            <v>5949</v>
          </cell>
          <cell r="G776" t="str">
            <v>Retail</v>
          </cell>
          <cell r="H776">
            <v>3</v>
          </cell>
        </row>
        <row r="777">
          <cell r="A777" t="str">
            <v>5961</v>
          </cell>
          <cell r="B777" t="str">
            <v>Retail</v>
          </cell>
          <cell r="C777">
            <v>5</v>
          </cell>
          <cell r="F777" t="str">
            <v>5961</v>
          </cell>
          <cell r="G777" t="str">
            <v>Retail</v>
          </cell>
          <cell r="H777">
            <v>3</v>
          </cell>
        </row>
        <row r="778">
          <cell r="A778" t="str">
            <v>5962</v>
          </cell>
          <cell r="B778" t="str">
            <v>Retail</v>
          </cell>
          <cell r="C778">
            <v>5</v>
          </cell>
          <cell r="F778" t="str">
            <v>5962</v>
          </cell>
          <cell r="G778" t="str">
            <v>Retail</v>
          </cell>
          <cell r="H778">
            <v>4</v>
          </cell>
        </row>
        <row r="779">
          <cell r="A779" t="str">
            <v>5963</v>
          </cell>
          <cell r="B779" t="str">
            <v>Retail</v>
          </cell>
          <cell r="C779">
            <v>3</v>
          </cell>
          <cell r="F779" t="str">
            <v>5963</v>
          </cell>
          <cell r="G779" t="str">
            <v>Retail</v>
          </cell>
          <cell r="H779">
            <v>4</v>
          </cell>
        </row>
        <row r="780">
          <cell r="A780" t="str">
            <v>5983</v>
          </cell>
          <cell r="B780" t="str">
            <v>Retail</v>
          </cell>
          <cell r="C780" t="str">
            <v>NA</v>
          </cell>
          <cell r="F780" t="str">
            <v>5983</v>
          </cell>
          <cell r="G780" t="str">
            <v>Retail</v>
          </cell>
          <cell r="H780" t="str">
            <v>NA</v>
          </cell>
        </row>
        <row r="781">
          <cell r="A781" t="str">
            <v>5984</v>
          </cell>
          <cell r="B781" t="str">
            <v>Retail</v>
          </cell>
          <cell r="C781" t="str">
            <v>NA</v>
          </cell>
          <cell r="F781" t="str">
            <v>5984</v>
          </cell>
          <cell r="G781" t="str">
            <v>Retail</v>
          </cell>
          <cell r="H781" t="str">
            <v>NA</v>
          </cell>
        </row>
        <row r="782">
          <cell r="A782" t="str">
            <v>5989</v>
          </cell>
          <cell r="B782" t="str">
            <v>Retail</v>
          </cell>
          <cell r="C782" t="str">
            <v>NA</v>
          </cell>
          <cell r="F782" t="str">
            <v>5989</v>
          </cell>
          <cell r="G782" t="str">
            <v>Retail</v>
          </cell>
          <cell r="H782" t="str">
            <v>NA</v>
          </cell>
        </row>
        <row r="783">
          <cell r="A783" t="str">
            <v>5992</v>
          </cell>
          <cell r="B783" t="str">
            <v>Retail</v>
          </cell>
          <cell r="C783">
            <v>3</v>
          </cell>
          <cell r="F783" t="str">
            <v>5992</v>
          </cell>
          <cell r="G783" t="str">
            <v>Retail</v>
          </cell>
          <cell r="H783">
            <v>3</v>
          </cell>
        </row>
        <row r="784">
          <cell r="A784" t="str">
            <v>5993</v>
          </cell>
          <cell r="B784" t="str">
            <v>Retail</v>
          </cell>
          <cell r="C784" t="str">
            <v>NA</v>
          </cell>
          <cell r="F784" t="str">
            <v>5993</v>
          </cell>
          <cell r="G784" t="str">
            <v>Retail</v>
          </cell>
          <cell r="H784" t="str">
            <v>NA</v>
          </cell>
        </row>
        <row r="785">
          <cell r="A785" t="str">
            <v>5994</v>
          </cell>
          <cell r="B785" t="str">
            <v>Retail</v>
          </cell>
          <cell r="C785">
            <v>8</v>
          </cell>
          <cell r="F785" t="str">
            <v>5994</v>
          </cell>
          <cell r="G785" t="str">
            <v>Retail</v>
          </cell>
          <cell r="H785">
            <v>5</v>
          </cell>
        </row>
        <row r="786">
          <cell r="A786" t="str">
            <v>5995</v>
          </cell>
          <cell r="B786" t="str">
            <v>Retail</v>
          </cell>
          <cell r="C786">
            <v>3</v>
          </cell>
          <cell r="F786" t="str">
            <v>5995</v>
          </cell>
          <cell r="G786" t="str">
            <v>Retail</v>
          </cell>
          <cell r="H786">
            <v>3</v>
          </cell>
        </row>
        <row r="787">
          <cell r="A787" t="str">
            <v>5999</v>
          </cell>
          <cell r="B787" t="str">
            <v>Retail</v>
          </cell>
          <cell r="C787">
            <v>5</v>
          </cell>
          <cell r="F787" t="str">
            <v>5999</v>
          </cell>
          <cell r="G787" t="str">
            <v>Retail</v>
          </cell>
          <cell r="H787">
            <v>5</v>
          </cell>
        </row>
        <row r="788">
          <cell r="A788" t="str">
            <v>6011</v>
          </cell>
          <cell r="B788" t="str">
            <v>Office</v>
          </cell>
          <cell r="C788" t="str">
            <v>NA</v>
          </cell>
          <cell r="F788" t="str">
            <v>6011</v>
          </cell>
          <cell r="G788" t="str">
            <v>Office</v>
          </cell>
          <cell r="H788" t="str">
            <v>NA</v>
          </cell>
        </row>
        <row r="789">
          <cell r="A789" t="str">
            <v>6019</v>
          </cell>
          <cell r="B789" t="str">
            <v>Office</v>
          </cell>
          <cell r="C789" t="str">
            <v>NA</v>
          </cell>
          <cell r="F789" t="str">
            <v>6019</v>
          </cell>
          <cell r="G789" t="str">
            <v>Office</v>
          </cell>
          <cell r="H789" t="str">
            <v>NA</v>
          </cell>
        </row>
        <row r="790">
          <cell r="A790" t="str">
            <v>6021</v>
          </cell>
          <cell r="B790" t="str">
            <v>Office</v>
          </cell>
          <cell r="C790" t="str">
            <v>NA</v>
          </cell>
          <cell r="F790" t="str">
            <v>6021</v>
          </cell>
          <cell r="G790" t="str">
            <v>Office</v>
          </cell>
          <cell r="H790" t="str">
            <v>NA</v>
          </cell>
        </row>
        <row r="791">
          <cell r="A791" t="str">
            <v>6022</v>
          </cell>
          <cell r="B791" t="str">
            <v>Office</v>
          </cell>
          <cell r="C791" t="str">
            <v>NA</v>
          </cell>
          <cell r="F791" t="str">
            <v>6022</v>
          </cell>
          <cell r="G791" t="str">
            <v>Office</v>
          </cell>
          <cell r="H791" t="str">
            <v>NA</v>
          </cell>
        </row>
        <row r="792">
          <cell r="A792" t="str">
            <v>6029</v>
          </cell>
          <cell r="B792" t="str">
            <v>Office</v>
          </cell>
          <cell r="C792" t="str">
            <v>NA</v>
          </cell>
          <cell r="F792" t="str">
            <v>6029</v>
          </cell>
          <cell r="G792" t="str">
            <v>Office</v>
          </cell>
          <cell r="H792" t="str">
            <v>NA</v>
          </cell>
        </row>
        <row r="793">
          <cell r="A793" t="str">
            <v>6035</v>
          </cell>
          <cell r="B793" t="str">
            <v>Office</v>
          </cell>
          <cell r="C793" t="str">
            <v>NA</v>
          </cell>
          <cell r="F793" t="str">
            <v>6035</v>
          </cell>
          <cell r="G793" t="str">
            <v>Office</v>
          </cell>
          <cell r="H793" t="str">
            <v>NA</v>
          </cell>
        </row>
        <row r="794">
          <cell r="A794" t="str">
            <v>6036</v>
          </cell>
          <cell r="B794" t="str">
            <v>Office</v>
          </cell>
          <cell r="C794" t="str">
            <v>NA</v>
          </cell>
          <cell r="F794" t="str">
            <v>6036</v>
          </cell>
          <cell r="G794" t="str">
            <v>Office</v>
          </cell>
          <cell r="H794" t="str">
            <v>NA</v>
          </cell>
        </row>
        <row r="795">
          <cell r="A795" t="str">
            <v>6061</v>
          </cell>
          <cell r="B795" t="str">
            <v>Office</v>
          </cell>
          <cell r="C795" t="str">
            <v>NA</v>
          </cell>
          <cell r="F795" t="str">
            <v>6061</v>
          </cell>
          <cell r="G795" t="str">
            <v>Office</v>
          </cell>
          <cell r="H795" t="str">
            <v>NA</v>
          </cell>
        </row>
        <row r="796">
          <cell r="A796" t="str">
            <v>6062</v>
          </cell>
          <cell r="B796" t="str">
            <v>Office</v>
          </cell>
          <cell r="C796" t="str">
            <v>NA</v>
          </cell>
          <cell r="F796" t="str">
            <v>6062</v>
          </cell>
          <cell r="G796" t="str">
            <v>Office</v>
          </cell>
          <cell r="H796" t="str">
            <v>NA</v>
          </cell>
        </row>
        <row r="797">
          <cell r="A797" t="str">
            <v>6081</v>
          </cell>
          <cell r="B797" t="str">
            <v>Office</v>
          </cell>
          <cell r="C797" t="str">
            <v>NA</v>
          </cell>
          <cell r="F797" t="str">
            <v>6081</v>
          </cell>
          <cell r="G797" t="str">
            <v>Office</v>
          </cell>
          <cell r="H797" t="str">
            <v>NA</v>
          </cell>
        </row>
        <row r="798">
          <cell r="A798" t="str">
            <v>6082</v>
          </cell>
          <cell r="B798" t="str">
            <v>Office</v>
          </cell>
          <cell r="C798" t="str">
            <v>NA</v>
          </cell>
          <cell r="F798" t="str">
            <v>6082</v>
          </cell>
          <cell r="G798" t="str">
            <v>Office</v>
          </cell>
          <cell r="H798" t="str">
            <v>NA</v>
          </cell>
        </row>
        <row r="799">
          <cell r="A799" t="str">
            <v>6091</v>
          </cell>
          <cell r="B799" t="str">
            <v>Office</v>
          </cell>
          <cell r="C799" t="str">
            <v>NA</v>
          </cell>
          <cell r="F799" t="str">
            <v>6091</v>
          </cell>
          <cell r="G799" t="str">
            <v>Office</v>
          </cell>
          <cell r="H799" t="str">
            <v>NA</v>
          </cell>
        </row>
        <row r="800">
          <cell r="A800" t="str">
            <v>6099</v>
          </cell>
          <cell r="B800" t="str">
            <v>Office</v>
          </cell>
          <cell r="C800" t="str">
            <v>NA</v>
          </cell>
          <cell r="F800" t="str">
            <v>6099</v>
          </cell>
          <cell r="G800" t="str">
            <v>Office</v>
          </cell>
          <cell r="H800" t="str">
            <v>NA</v>
          </cell>
        </row>
        <row r="801">
          <cell r="A801" t="str">
            <v>6111</v>
          </cell>
          <cell r="B801" t="str">
            <v>Office</v>
          </cell>
          <cell r="C801" t="str">
            <v>NA</v>
          </cell>
          <cell r="F801" t="str">
            <v>6111</v>
          </cell>
          <cell r="G801" t="str">
            <v>Office</v>
          </cell>
          <cell r="H801" t="str">
            <v>NA</v>
          </cell>
        </row>
        <row r="802">
          <cell r="A802" t="str">
            <v>6141</v>
          </cell>
          <cell r="B802" t="str">
            <v>Office</v>
          </cell>
          <cell r="C802" t="str">
            <v>NA</v>
          </cell>
          <cell r="F802" t="str">
            <v>6141</v>
          </cell>
          <cell r="G802" t="str">
            <v>Office</v>
          </cell>
          <cell r="H802" t="str">
            <v>NA</v>
          </cell>
        </row>
        <row r="803">
          <cell r="A803" t="str">
            <v>6153</v>
          </cell>
          <cell r="B803" t="str">
            <v>Office</v>
          </cell>
          <cell r="C803" t="str">
            <v>NA</v>
          </cell>
          <cell r="F803" t="str">
            <v>6153</v>
          </cell>
          <cell r="G803" t="str">
            <v>Office</v>
          </cell>
          <cell r="H803" t="str">
            <v>NA</v>
          </cell>
        </row>
        <row r="804">
          <cell r="A804" t="str">
            <v>6159</v>
          </cell>
          <cell r="B804" t="str">
            <v>Office</v>
          </cell>
          <cell r="C804" t="str">
            <v>NA</v>
          </cell>
          <cell r="F804" t="str">
            <v>6159</v>
          </cell>
          <cell r="G804" t="str">
            <v>Office</v>
          </cell>
          <cell r="H804" t="str">
            <v>NA</v>
          </cell>
        </row>
        <row r="805">
          <cell r="A805" t="str">
            <v>6162</v>
          </cell>
          <cell r="B805" t="str">
            <v>Office</v>
          </cell>
          <cell r="C805" t="str">
            <v>NA</v>
          </cell>
          <cell r="F805" t="str">
            <v>6162</v>
          </cell>
          <cell r="G805" t="str">
            <v>Office</v>
          </cell>
          <cell r="H805" t="str">
            <v>NA</v>
          </cell>
        </row>
        <row r="806">
          <cell r="A806" t="str">
            <v>6163</v>
          </cell>
          <cell r="B806" t="str">
            <v>Office</v>
          </cell>
          <cell r="C806">
            <v>5</v>
          </cell>
          <cell r="F806" t="str">
            <v>6163</v>
          </cell>
          <cell r="G806" t="str">
            <v>Office</v>
          </cell>
          <cell r="H806">
            <v>8</v>
          </cell>
        </row>
        <row r="807">
          <cell r="A807" t="str">
            <v>6211</v>
          </cell>
          <cell r="B807" t="str">
            <v>Office</v>
          </cell>
          <cell r="C807">
            <v>8</v>
          </cell>
          <cell r="F807" t="str">
            <v>6211</v>
          </cell>
          <cell r="G807" t="str">
            <v>Office</v>
          </cell>
          <cell r="H807">
            <v>9</v>
          </cell>
        </row>
        <row r="808">
          <cell r="A808" t="str">
            <v>6221</v>
          </cell>
          <cell r="B808" t="str">
            <v>Office</v>
          </cell>
          <cell r="C808">
            <v>8</v>
          </cell>
          <cell r="F808" t="str">
            <v>6221</v>
          </cell>
          <cell r="G808" t="str">
            <v>Office</v>
          </cell>
          <cell r="H808">
            <v>9</v>
          </cell>
        </row>
        <row r="809">
          <cell r="A809" t="str">
            <v>6231</v>
          </cell>
          <cell r="B809" t="str">
            <v>Office</v>
          </cell>
          <cell r="C809" t="str">
            <v>NA</v>
          </cell>
          <cell r="F809" t="str">
            <v>6231</v>
          </cell>
          <cell r="G809" t="str">
            <v>Office</v>
          </cell>
          <cell r="H809" t="str">
            <v>NA</v>
          </cell>
        </row>
        <row r="810">
          <cell r="A810" t="str">
            <v>6282</v>
          </cell>
          <cell r="B810" t="str">
            <v>Office</v>
          </cell>
          <cell r="C810">
            <v>3</v>
          </cell>
          <cell r="F810" t="str">
            <v>6282</v>
          </cell>
          <cell r="G810" t="str">
            <v>Office</v>
          </cell>
          <cell r="H810">
            <v>4</v>
          </cell>
        </row>
        <row r="811">
          <cell r="A811" t="str">
            <v>6289</v>
          </cell>
          <cell r="B811" t="str">
            <v>Office</v>
          </cell>
          <cell r="C811">
            <v>5</v>
          </cell>
          <cell r="F811" t="str">
            <v>6289</v>
          </cell>
          <cell r="G811" t="str">
            <v>Office</v>
          </cell>
          <cell r="H811">
            <v>5</v>
          </cell>
        </row>
        <row r="812">
          <cell r="A812" t="str">
            <v>6311</v>
          </cell>
          <cell r="B812" t="str">
            <v>Office</v>
          </cell>
          <cell r="C812" t="str">
            <v>NA</v>
          </cell>
          <cell r="F812" t="str">
            <v>6311</v>
          </cell>
          <cell r="G812" t="str">
            <v>Office</v>
          </cell>
          <cell r="H812" t="str">
            <v>NA</v>
          </cell>
        </row>
        <row r="813">
          <cell r="A813" t="str">
            <v>6321</v>
          </cell>
          <cell r="B813" t="str">
            <v>Office</v>
          </cell>
          <cell r="C813" t="str">
            <v>NA</v>
          </cell>
          <cell r="F813" t="str">
            <v>6321</v>
          </cell>
          <cell r="G813" t="str">
            <v>Office</v>
          </cell>
          <cell r="H813" t="str">
            <v>NA</v>
          </cell>
        </row>
        <row r="814">
          <cell r="A814" t="str">
            <v>6324</v>
          </cell>
          <cell r="B814" t="str">
            <v>Office</v>
          </cell>
          <cell r="C814" t="str">
            <v>NA</v>
          </cell>
          <cell r="F814" t="str">
            <v>6324</v>
          </cell>
          <cell r="G814" t="str">
            <v>Office</v>
          </cell>
          <cell r="H814" t="str">
            <v>NA</v>
          </cell>
        </row>
        <row r="815">
          <cell r="A815" t="str">
            <v>6331</v>
          </cell>
          <cell r="B815" t="str">
            <v>Office</v>
          </cell>
          <cell r="C815" t="str">
            <v>NA</v>
          </cell>
          <cell r="F815" t="str">
            <v>6331</v>
          </cell>
          <cell r="G815" t="str">
            <v>Office</v>
          </cell>
          <cell r="H815" t="str">
            <v>NA</v>
          </cell>
        </row>
        <row r="816">
          <cell r="A816" t="str">
            <v>6351</v>
          </cell>
          <cell r="B816" t="str">
            <v>Office</v>
          </cell>
          <cell r="C816" t="str">
            <v>NA</v>
          </cell>
          <cell r="F816" t="str">
            <v>6351</v>
          </cell>
          <cell r="G816" t="str">
            <v>Office</v>
          </cell>
          <cell r="H816" t="str">
            <v>NA</v>
          </cell>
        </row>
        <row r="817">
          <cell r="A817" t="str">
            <v>6361</v>
          </cell>
          <cell r="B817" t="str">
            <v>Office</v>
          </cell>
          <cell r="C817" t="str">
            <v>NA</v>
          </cell>
          <cell r="F817" t="str">
            <v>6361</v>
          </cell>
          <cell r="G817" t="str">
            <v>Office</v>
          </cell>
          <cell r="H817" t="str">
            <v>NA</v>
          </cell>
        </row>
        <row r="818">
          <cell r="A818" t="str">
            <v>6371</v>
          </cell>
          <cell r="B818" t="str">
            <v>Office</v>
          </cell>
          <cell r="C818" t="str">
            <v>NA</v>
          </cell>
          <cell r="F818" t="str">
            <v>6371</v>
          </cell>
          <cell r="G818" t="str">
            <v>Office</v>
          </cell>
          <cell r="H818" t="str">
            <v>NA</v>
          </cell>
        </row>
        <row r="819">
          <cell r="A819" t="str">
            <v>6399</v>
          </cell>
          <cell r="B819" t="str">
            <v>Office</v>
          </cell>
          <cell r="C819" t="str">
            <v>NA</v>
          </cell>
          <cell r="F819" t="str">
            <v>6399</v>
          </cell>
          <cell r="G819" t="str">
            <v>Office</v>
          </cell>
          <cell r="H819" t="str">
            <v>NA</v>
          </cell>
        </row>
        <row r="820">
          <cell r="A820" t="str">
            <v>6411</v>
          </cell>
          <cell r="B820" t="str">
            <v>Office</v>
          </cell>
          <cell r="C820">
            <v>3</v>
          </cell>
          <cell r="F820" t="str">
            <v>6411</v>
          </cell>
          <cell r="G820" t="str">
            <v>Office</v>
          </cell>
          <cell r="H820">
            <v>4</v>
          </cell>
        </row>
        <row r="821">
          <cell r="A821" t="str">
            <v>6512</v>
          </cell>
          <cell r="B821" t="str">
            <v>Office</v>
          </cell>
          <cell r="C821">
            <v>6</v>
          </cell>
          <cell r="F821" t="str">
            <v>6512</v>
          </cell>
          <cell r="G821" t="str">
            <v>Office</v>
          </cell>
          <cell r="H821">
            <v>7</v>
          </cell>
        </row>
        <row r="822">
          <cell r="A822" t="str">
            <v>6513</v>
          </cell>
          <cell r="B822" t="str">
            <v>Habitational</v>
          </cell>
          <cell r="C822" t="str">
            <v>NA</v>
          </cell>
          <cell r="F822" t="str">
            <v>6513</v>
          </cell>
          <cell r="G822" t="str">
            <v>Habitational</v>
          </cell>
          <cell r="H822" t="str">
            <v>NA</v>
          </cell>
        </row>
        <row r="823">
          <cell r="A823" t="str">
            <v>6514</v>
          </cell>
          <cell r="B823" t="str">
            <v>Habitational</v>
          </cell>
          <cell r="C823" t="str">
            <v>NA</v>
          </cell>
          <cell r="F823" t="str">
            <v>6514</v>
          </cell>
          <cell r="G823" t="str">
            <v>Habitational</v>
          </cell>
          <cell r="H823" t="str">
            <v>NA</v>
          </cell>
        </row>
        <row r="824">
          <cell r="A824" t="str">
            <v>6515</v>
          </cell>
          <cell r="B824" t="str">
            <v>Habitational</v>
          </cell>
          <cell r="C824" t="str">
            <v>NA</v>
          </cell>
          <cell r="F824" t="str">
            <v>6515</v>
          </cell>
          <cell r="G824" t="str">
            <v>Habitational</v>
          </cell>
          <cell r="H824" t="str">
            <v>NA</v>
          </cell>
        </row>
        <row r="825">
          <cell r="A825" t="str">
            <v>6517</v>
          </cell>
          <cell r="B825" t="str">
            <v>Office</v>
          </cell>
          <cell r="C825">
            <v>5</v>
          </cell>
          <cell r="F825" t="str">
            <v>6517</v>
          </cell>
          <cell r="G825" t="str">
            <v>Office</v>
          </cell>
          <cell r="H825">
            <v>8</v>
          </cell>
        </row>
        <row r="826">
          <cell r="A826" t="str">
            <v>6519</v>
          </cell>
          <cell r="B826" t="str">
            <v>Office</v>
          </cell>
          <cell r="C826">
            <v>5</v>
          </cell>
          <cell r="F826" t="str">
            <v>6519</v>
          </cell>
          <cell r="G826" t="str">
            <v>Office</v>
          </cell>
          <cell r="H826">
            <v>5</v>
          </cell>
        </row>
        <row r="827">
          <cell r="A827" t="str">
            <v>6531</v>
          </cell>
          <cell r="B827" t="str">
            <v>Services</v>
          </cell>
          <cell r="C827">
            <v>5</v>
          </cell>
          <cell r="F827" t="str">
            <v>6531</v>
          </cell>
          <cell r="G827" t="str">
            <v>Services</v>
          </cell>
          <cell r="H827">
            <v>5</v>
          </cell>
        </row>
        <row r="828">
          <cell r="A828" t="str">
            <v>6541</v>
          </cell>
          <cell r="B828" t="str">
            <v>Office</v>
          </cell>
          <cell r="C828">
            <v>5</v>
          </cell>
          <cell r="F828" t="str">
            <v>6541</v>
          </cell>
          <cell r="G828" t="str">
            <v>Office</v>
          </cell>
          <cell r="H828">
            <v>5</v>
          </cell>
        </row>
        <row r="829">
          <cell r="A829" t="str">
            <v>6552</v>
          </cell>
          <cell r="B829" t="str">
            <v>Contractors</v>
          </cell>
          <cell r="C829" t="str">
            <v>NA</v>
          </cell>
          <cell r="F829" t="str">
            <v>6552</v>
          </cell>
          <cell r="G829" t="str">
            <v>Contractors</v>
          </cell>
          <cell r="H829" t="str">
            <v>NA</v>
          </cell>
        </row>
        <row r="830">
          <cell r="A830" t="str">
            <v>6553</v>
          </cell>
          <cell r="B830" t="str">
            <v>Services</v>
          </cell>
          <cell r="C830">
            <v>3</v>
          </cell>
          <cell r="F830" t="str">
            <v>6553</v>
          </cell>
          <cell r="G830" t="str">
            <v>Services</v>
          </cell>
          <cell r="H830">
            <v>3</v>
          </cell>
        </row>
        <row r="831">
          <cell r="A831" t="str">
            <v>6712</v>
          </cell>
          <cell r="B831" t="str">
            <v>Office</v>
          </cell>
          <cell r="C831">
            <v>3</v>
          </cell>
          <cell r="F831" t="str">
            <v>6712</v>
          </cell>
          <cell r="G831" t="str">
            <v>Office</v>
          </cell>
          <cell r="H831">
            <v>4</v>
          </cell>
        </row>
        <row r="832">
          <cell r="A832" t="str">
            <v>6719</v>
          </cell>
          <cell r="B832" t="str">
            <v>Office</v>
          </cell>
          <cell r="C832">
            <v>3</v>
          </cell>
          <cell r="F832" t="str">
            <v>6719</v>
          </cell>
          <cell r="G832" t="str">
            <v>Office</v>
          </cell>
          <cell r="H832">
            <v>4</v>
          </cell>
        </row>
        <row r="833">
          <cell r="A833" t="str">
            <v>6722</v>
          </cell>
          <cell r="B833" t="str">
            <v>Office</v>
          </cell>
          <cell r="C833">
            <v>3</v>
          </cell>
          <cell r="F833" t="str">
            <v>6722</v>
          </cell>
          <cell r="G833" t="str">
            <v>Office</v>
          </cell>
          <cell r="H833">
            <v>4</v>
          </cell>
        </row>
        <row r="834">
          <cell r="A834" t="str">
            <v>6726</v>
          </cell>
          <cell r="B834" t="str">
            <v>Office</v>
          </cell>
          <cell r="C834">
            <v>3</v>
          </cell>
          <cell r="F834" t="str">
            <v>6726</v>
          </cell>
          <cell r="G834" t="str">
            <v>Office</v>
          </cell>
          <cell r="H834">
            <v>4</v>
          </cell>
        </row>
        <row r="835">
          <cell r="A835" t="str">
            <v>6732</v>
          </cell>
          <cell r="B835" t="str">
            <v>Office</v>
          </cell>
          <cell r="C835">
            <v>3</v>
          </cell>
          <cell r="F835" t="str">
            <v>6732</v>
          </cell>
          <cell r="G835" t="str">
            <v>Office</v>
          </cell>
          <cell r="H835">
            <v>4</v>
          </cell>
        </row>
        <row r="836">
          <cell r="A836" t="str">
            <v>6733</v>
          </cell>
          <cell r="B836" t="str">
            <v>Office</v>
          </cell>
          <cell r="C836">
            <v>3</v>
          </cell>
          <cell r="F836" t="str">
            <v>6733</v>
          </cell>
          <cell r="G836" t="str">
            <v>Office</v>
          </cell>
          <cell r="H836">
            <v>4</v>
          </cell>
        </row>
        <row r="837">
          <cell r="A837" t="str">
            <v>6792</v>
          </cell>
          <cell r="B837" t="str">
            <v>Office</v>
          </cell>
          <cell r="C837" t="str">
            <v>NA</v>
          </cell>
          <cell r="F837" t="str">
            <v>6792</v>
          </cell>
          <cell r="G837" t="str">
            <v>Office</v>
          </cell>
          <cell r="H837" t="str">
            <v>NA</v>
          </cell>
        </row>
        <row r="838">
          <cell r="A838" t="str">
            <v>6794</v>
          </cell>
          <cell r="B838" t="str">
            <v>Office</v>
          </cell>
          <cell r="C838" t="str">
            <v>NA</v>
          </cell>
          <cell r="F838" t="str">
            <v>6794</v>
          </cell>
          <cell r="G838" t="str">
            <v>Office</v>
          </cell>
          <cell r="H838" t="str">
            <v>NA</v>
          </cell>
        </row>
        <row r="839">
          <cell r="A839" t="str">
            <v>6798</v>
          </cell>
          <cell r="B839" t="str">
            <v>Office</v>
          </cell>
          <cell r="C839">
            <v>6</v>
          </cell>
          <cell r="F839" t="str">
            <v>6798</v>
          </cell>
          <cell r="G839" t="str">
            <v>Office</v>
          </cell>
          <cell r="H839">
            <v>7</v>
          </cell>
        </row>
        <row r="840">
          <cell r="A840" t="str">
            <v>6799</v>
          </cell>
          <cell r="B840" t="str">
            <v>Office</v>
          </cell>
          <cell r="C840" t="str">
            <v>NA</v>
          </cell>
          <cell r="F840" t="str">
            <v>6799</v>
          </cell>
          <cell r="G840" t="str">
            <v>Office</v>
          </cell>
          <cell r="H840" t="str">
            <v>NA</v>
          </cell>
        </row>
        <row r="841">
          <cell r="A841" t="str">
            <v>7011</v>
          </cell>
          <cell r="B841" t="str">
            <v>Habitational</v>
          </cell>
          <cell r="C841" t="str">
            <v>NA</v>
          </cell>
          <cell r="F841" t="str">
            <v>7011</v>
          </cell>
          <cell r="G841" t="str">
            <v>Habitational</v>
          </cell>
          <cell r="H841" t="str">
            <v>NA</v>
          </cell>
        </row>
        <row r="842">
          <cell r="A842" t="str">
            <v>7021</v>
          </cell>
          <cell r="B842" t="str">
            <v>Habitational</v>
          </cell>
          <cell r="C842" t="str">
            <v>NA</v>
          </cell>
          <cell r="F842" t="str">
            <v>7021</v>
          </cell>
          <cell r="G842" t="str">
            <v>Habitational</v>
          </cell>
          <cell r="H842" t="str">
            <v>NA</v>
          </cell>
        </row>
        <row r="843">
          <cell r="A843" t="str">
            <v>7032</v>
          </cell>
          <cell r="B843" t="str">
            <v>Habitational</v>
          </cell>
          <cell r="C843" t="str">
            <v>NA</v>
          </cell>
          <cell r="F843" t="str">
            <v>7032</v>
          </cell>
          <cell r="G843" t="str">
            <v>Habitational</v>
          </cell>
          <cell r="H843" t="str">
            <v>NA</v>
          </cell>
        </row>
        <row r="844">
          <cell r="A844" t="str">
            <v>7033</v>
          </cell>
          <cell r="B844" t="str">
            <v>Habitational</v>
          </cell>
          <cell r="C844" t="str">
            <v>NA</v>
          </cell>
          <cell r="F844" t="str">
            <v>7033</v>
          </cell>
          <cell r="G844" t="str">
            <v>Habitational</v>
          </cell>
          <cell r="H844" t="str">
            <v>NA</v>
          </cell>
        </row>
        <row r="845">
          <cell r="A845" t="str">
            <v>7041</v>
          </cell>
          <cell r="B845" t="str">
            <v>Habitational</v>
          </cell>
          <cell r="C845" t="str">
            <v>NA</v>
          </cell>
          <cell r="F845" t="str">
            <v>7041</v>
          </cell>
          <cell r="G845" t="str">
            <v>Habitational</v>
          </cell>
          <cell r="H845" t="str">
            <v>NA</v>
          </cell>
        </row>
        <row r="846">
          <cell r="A846" t="str">
            <v>7211</v>
          </cell>
          <cell r="B846" t="str">
            <v>Services</v>
          </cell>
          <cell r="C846">
            <v>7</v>
          </cell>
          <cell r="F846" t="str">
            <v>7211</v>
          </cell>
          <cell r="G846" t="str">
            <v>Services</v>
          </cell>
          <cell r="H846">
            <v>5</v>
          </cell>
        </row>
        <row r="847">
          <cell r="A847" t="str">
            <v>7212</v>
          </cell>
          <cell r="B847" t="str">
            <v>Services</v>
          </cell>
          <cell r="C847">
            <v>7</v>
          </cell>
          <cell r="F847" t="str">
            <v>7212</v>
          </cell>
          <cell r="G847" t="str">
            <v>Services</v>
          </cell>
          <cell r="H847">
            <v>5</v>
          </cell>
        </row>
        <row r="848">
          <cell r="A848" t="str">
            <v>7213</v>
          </cell>
          <cell r="B848" t="str">
            <v>Services</v>
          </cell>
          <cell r="C848">
            <v>7</v>
          </cell>
          <cell r="F848" t="str">
            <v>7213</v>
          </cell>
          <cell r="G848" t="str">
            <v>Services</v>
          </cell>
          <cell r="H848">
            <v>5</v>
          </cell>
        </row>
        <row r="849">
          <cell r="A849" t="str">
            <v>7215</v>
          </cell>
          <cell r="B849" t="str">
            <v>Services</v>
          </cell>
          <cell r="C849">
            <v>7</v>
          </cell>
          <cell r="F849" t="str">
            <v>7215</v>
          </cell>
          <cell r="G849" t="str">
            <v>Services</v>
          </cell>
          <cell r="H849">
            <v>5</v>
          </cell>
        </row>
        <row r="850">
          <cell r="A850" t="str">
            <v>7216</v>
          </cell>
          <cell r="B850" t="str">
            <v>Services</v>
          </cell>
          <cell r="C850">
            <v>7</v>
          </cell>
          <cell r="F850" t="str">
            <v>7216</v>
          </cell>
          <cell r="G850" t="str">
            <v>Services</v>
          </cell>
          <cell r="H850">
            <v>6</v>
          </cell>
        </row>
        <row r="851">
          <cell r="A851" t="str">
            <v>7217</v>
          </cell>
          <cell r="B851" t="str">
            <v>Services</v>
          </cell>
          <cell r="C851">
            <v>5</v>
          </cell>
          <cell r="F851" t="str">
            <v>7217</v>
          </cell>
          <cell r="G851" t="str">
            <v>Services</v>
          </cell>
          <cell r="H851">
            <v>7</v>
          </cell>
        </row>
        <row r="852">
          <cell r="A852" t="str">
            <v>7218</v>
          </cell>
          <cell r="B852" t="str">
            <v>Services</v>
          </cell>
          <cell r="C852">
            <v>7</v>
          </cell>
          <cell r="F852" t="str">
            <v>7218</v>
          </cell>
          <cell r="G852" t="str">
            <v>Services</v>
          </cell>
          <cell r="H852">
            <v>6</v>
          </cell>
        </row>
        <row r="853">
          <cell r="A853" t="str">
            <v>7219</v>
          </cell>
          <cell r="B853" t="str">
            <v>Services</v>
          </cell>
          <cell r="C853">
            <v>7</v>
          </cell>
          <cell r="F853" t="str">
            <v>7219</v>
          </cell>
          <cell r="G853" t="str">
            <v>Services</v>
          </cell>
          <cell r="H853">
            <v>6</v>
          </cell>
        </row>
        <row r="854">
          <cell r="A854" t="str">
            <v>7221</v>
          </cell>
          <cell r="B854" t="str">
            <v>Services</v>
          </cell>
          <cell r="C854">
            <v>4</v>
          </cell>
          <cell r="F854" t="str">
            <v>7221</v>
          </cell>
          <cell r="G854" t="str">
            <v>Services</v>
          </cell>
          <cell r="H854">
            <v>2</v>
          </cell>
        </row>
        <row r="855">
          <cell r="A855" t="str">
            <v>7231</v>
          </cell>
          <cell r="B855" t="str">
            <v>Services</v>
          </cell>
          <cell r="C855">
            <v>2</v>
          </cell>
          <cell r="F855" t="str">
            <v>7231</v>
          </cell>
          <cell r="G855" t="str">
            <v>Services</v>
          </cell>
          <cell r="H855">
            <v>3</v>
          </cell>
        </row>
        <row r="856">
          <cell r="A856" t="str">
            <v>7241</v>
          </cell>
          <cell r="B856" t="str">
            <v>Services</v>
          </cell>
          <cell r="C856">
            <v>2</v>
          </cell>
          <cell r="F856" t="str">
            <v>7241</v>
          </cell>
          <cell r="G856" t="str">
            <v>Services</v>
          </cell>
          <cell r="H856">
            <v>2</v>
          </cell>
        </row>
        <row r="857">
          <cell r="A857" t="str">
            <v>7251</v>
          </cell>
          <cell r="B857" t="str">
            <v>Services</v>
          </cell>
          <cell r="C857">
            <v>2</v>
          </cell>
          <cell r="F857" t="str">
            <v>7251</v>
          </cell>
          <cell r="G857" t="str">
            <v>Services</v>
          </cell>
          <cell r="H857">
            <v>1</v>
          </cell>
        </row>
        <row r="858">
          <cell r="A858" t="str">
            <v>7261</v>
          </cell>
          <cell r="B858" t="str">
            <v>Services</v>
          </cell>
          <cell r="C858">
            <v>4</v>
          </cell>
          <cell r="F858" t="str">
            <v>7261</v>
          </cell>
          <cell r="G858" t="str">
            <v>Services</v>
          </cell>
          <cell r="H858">
            <v>3</v>
          </cell>
        </row>
        <row r="859">
          <cell r="A859" t="str">
            <v>7291</v>
          </cell>
          <cell r="B859" t="str">
            <v>Office</v>
          </cell>
          <cell r="C859">
            <v>2</v>
          </cell>
          <cell r="F859" t="str">
            <v>7291</v>
          </cell>
          <cell r="G859" t="str">
            <v>Office</v>
          </cell>
          <cell r="H859">
            <v>2</v>
          </cell>
        </row>
        <row r="860">
          <cell r="A860" t="str">
            <v>7299</v>
          </cell>
          <cell r="B860" t="str">
            <v>Services</v>
          </cell>
          <cell r="C860">
            <v>5</v>
          </cell>
          <cell r="F860" t="str">
            <v>7299</v>
          </cell>
          <cell r="G860" t="str">
            <v>Services</v>
          </cell>
          <cell r="H860">
            <v>5</v>
          </cell>
        </row>
        <row r="861">
          <cell r="A861" t="str">
            <v>7311</v>
          </cell>
          <cell r="B861" t="str">
            <v>Office</v>
          </cell>
          <cell r="C861">
            <v>2</v>
          </cell>
          <cell r="F861" t="str">
            <v>7311</v>
          </cell>
          <cell r="G861" t="str">
            <v>Office</v>
          </cell>
          <cell r="H861">
            <v>3</v>
          </cell>
        </row>
        <row r="862">
          <cell r="A862" t="str">
            <v>7312</v>
          </cell>
          <cell r="B862" t="str">
            <v>Services</v>
          </cell>
          <cell r="C862">
            <v>5</v>
          </cell>
          <cell r="F862" t="str">
            <v>7312</v>
          </cell>
          <cell r="G862" t="str">
            <v>Services</v>
          </cell>
          <cell r="H862">
            <v>5</v>
          </cell>
        </row>
        <row r="863">
          <cell r="A863" t="str">
            <v>7313</v>
          </cell>
          <cell r="B863" t="str">
            <v>Services</v>
          </cell>
          <cell r="C863">
            <v>5</v>
          </cell>
          <cell r="F863" t="str">
            <v>7313</v>
          </cell>
          <cell r="G863" t="str">
            <v>Services</v>
          </cell>
          <cell r="H863">
            <v>5</v>
          </cell>
        </row>
        <row r="864">
          <cell r="A864" t="str">
            <v>7319</v>
          </cell>
          <cell r="B864" t="str">
            <v>Services</v>
          </cell>
          <cell r="C864">
            <v>5</v>
          </cell>
          <cell r="F864" t="str">
            <v>7319</v>
          </cell>
          <cell r="G864" t="str">
            <v>Services</v>
          </cell>
          <cell r="H864">
            <v>5</v>
          </cell>
        </row>
        <row r="865">
          <cell r="A865" t="str">
            <v>7322</v>
          </cell>
          <cell r="B865" t="str">
            <v>Services</v>
          </cell>
          <cell r="C865">
            <v>4</v>
          </cell>
          <cell r="F865" t="str">
            <v>7322</v>
          </cell>
          <cell r="G865" t="str">
            <v>Services</v>
          </cell>
          <cell r="H865">
            <v>9</v>
          </cell>
        </row>
        <row r="866">
          <cell r="A866" t="str">
            <v>7323</v>
          </cell>
          <cell r="B866" t="str">
            <v>Services</v>
          </cell>
          <cell r="C866">
            <v>3</v>
          </cell>
          <cell r="F866" t="str">
            <v>7323</v>
          </cell>
          <cell r="G866" t="str">
            <v>Services</v>
          </cell>
          <cell r="H866">
            <v>7</v>
          </cell>
        </row>
        <row r="867">
          <cell r="A867" t="str">
            <v>7331</v>
          </cell>
          <cell r="B867" t="str">
            <v>Services</v>
          </cell>
          <cell r="C867">
            <v>3</v>
          </cell>
          <cell r="F867" t="str">
            <v>7331</v>
          </cell>
          <cell r="G867" t="str">
            <v>Services</v>
          </cell>
          <cell r="H867">
            <v>4</v>
          </cell>
        </row>
        <row r="868">
          <cell r="A868" t="str">
            <v>7334</v>
          </cell>
          <cell r="B868" t="str">
            <v>Services</v>
          </cell>
          <cell r="C868">
            <v>4</v>
          </cell>
          <cell r="F868" t="str">
            <v>7334</v>
          </cell>
          <cell r="G868" t="str">
            <v>Services</v>
          </cell>
          <cell r="H868">
            <v>2</v>
          </cell>
        </row>
        <row r="869">
          <cell r="A869" t="str">
            <v>7335</v>
          </cell>
          <cell r="B869" t="str">
            <v>Services</v>
          </cell>
          <cell r="C869">
            <v>4</v>
          </cell>
          <cell r="F869" t="str">
            <v>7335</v>
          </cell>
          <cell r="G869" t="str">
            <v>Services</v>
          </cell>
          <cell r="H869">
            <v>3</v>
          </cell>
        </row>
        <row r="870">
          <cell r="A870" t="str">
            <v>7336</v>
          </cell>
          <cell r="B870" t="str">
            <v>Services</v>
          </cell>
          <cell r="C870">
            <v>3</v>
          </cell>
          <cell r="F870" t="str">
            <v>7336</v>
          </cell>
          <cell r="G870" t="str">
            <v>Services</v>
          </cell>
          <cell r="H870">
            <v>3</v>
          </cell>
        </row>
        <row r="871">
          <cell r="A871" t="str">
            <v>7338</v>
          </cell>
          <cell r="B871" t="str">
            <v>Services</v>
          </cell>
          <cell r="C871">
            <v>2</v>
          </cell>
          <cell r="F871" t="str">
            <v>7338</v>
          </cell>
          <cell r="G871" t="str">
            <v>Services</v>
          </cell>
          <cell r="H871">
            <v>2</v>
          </cell>
        </row>
        <row r="872">
          <cell r="A872" t="str">
            <v>7342</v>
          </cell>
          <cell r="B872" t="str">
            <v>Services</v>
          </cell>
          <cell r="C872">
            <v>6</v>
          </cell>
          <cell r="F872" t="str">
            <v>7342</v>
          </cell>
          <cell r="G872" t="str">
            <v>Services</v>
          </cell>
          <cell r="H872">
            <v>9</v>
          </cell>
        </row>
        <row r="873">
          <cell r="A873" t="str">
            <v>7349</v>
          </cell>
          <cell r="B873" t="str">
            <v>Services</v>
          </cell>
          <cell r="C873">
            <v>6</v>
          </cell>
          <cell r="F873" t="str">
            <v>7349</v>
          </cell>
          <cell r="G873" t="str">
            <v>Services</v>
          </cell>
          <cell r="H873">
            <v>8</v>
          </cell>
        </row>
        <row r="874">
          <cell r="A874" t="str">
            <v>7352</v>
          </cell>
          <cell r="B874" t="str">
            <v>Services</v>
          </cell>
          <cell r="C874">
            <v>7</v>
          </cell>
          <cell r="F874" t="str">
            <v>7352</v>
          </cell>
          <cell r="G874" t="str">
            <v>Services</v>
          </cell>
          <cell r="H874">
            <v>10</v>
          </cell>
        </row>
        <row r="875">
          <cell r="A875" t="str">
            <v>7353</v>
          </cell>
          <cell r="B875" t="str">
            <v>Contractors</v>
          </cell>
          <cell r="C875" t="str">
            <v>NA</v>
          </cell>
          <cell r="F875" t="str">
            <v>7353</v>
          </cell>
          <cell r="G875" t="str">
            <v>Contractors</v>
          </cell>
          <cell r="H875" t="str">
            <v>NA</v>
          </cell>
        </row>
        <row r="876">
          <cell r="A876" t="str">
            <v>7359</v>
          </cell>
          <cell r="B876" t="str">
            <v>Contractors</v>
          </cell>
          <cell r="C876" t="str">
            <v>NA</v>
          </cell>
          <cell r="F876" t="str">
            <v>7359</v>
          </cell>
          <cell r="G876" t="str">
            <v>Contractors</v>
          </cell>
          <cell r="H876" t="str">
            <v>NA</v>
          </cell>
        </row>
        <row r="877">
          <cell r="A877" t="str">
            <v>7361</v>
          </cell>
          <cell r="B877" t="str">
            <v>Services</v>
          </cell>
          <cell r="C877">
            <v>3</v>
          </cell>
          <cell r="F877" t="str">
            <v>7361</v>
          </cell>
          <cell r="G877" t="str">
            <v>Services</v>
          </cell>
          <cell r="H877">
            <v>7</v>
          </cell>
        </row>
        <row r="878">
          <cell r="A878" t="str">
            <v>7363</v>
          </cell>
          <cell r="B878" t="str">
            <v>Services</v>
          </cell>
          <cell r="C878">
            <v>3</v>
          </cell>
          <cell r="F878" t="str">
            <v>7363</v>
          </cell>
          <cell r="G878" t="str">
            <v>Services</v>
          </cell>
          <cell r="H878">
            <v>7</v>
          </cell>
        </row>
        <row r="879">
          <cell r="A879" t="str">
            <v>7371</v>
          </cell>
          <cell r="B879" t="str">
            <v>High Tech</v>
          </cell>
          <cell r="C879">
            <v>8</v>
          </cell>
          <cell r="F879" t="str">
            <v>7371</v>
          </cell>
          <cell r="G879" t="str">
            <v>High Tech</v>
          </cell>
          <cell r="H879">
            <v>8</v>
          </cell>
        </row>
        <row r="880">
          <cell r="A880" t="str">
            <v>7372</v>
          </cell>
          <cell r="B880" t="str">
            <v>High Tech</v>
          </cell>
          <cell r="C880">
            <v>4</v>
          </cell>
          <cell r="F880" t="str">
            <v>7372</v>
          </cell>
          <cell r="G880" t="str">
            <v>High Tech</v>
          </cell>
          <cell r="H880">
            <v>3</v>
          </cell>
        </row>
        <row r="881">
          <cell r="A881" t="str">
            <v>7373</v>
          </cell>
          <cell r="B881" t="str">
            <v>High Tech</v>
          </cell>
          <cell r="C881">
            <v>7</v>
          </cell>
          <cell r="F881" t="str">
            <v>7373</v>
          </cell>
          <cell r="G881" t="str">
            <v>High Tech</v>
          </cell>
          <cell r="H881">
            <v>7</v>
          </cell>
        </row>
        <row r="882">
          <cell r="A882" t="str">
            <v>7374</v>
          </cell>
          <cell r="B882" t="str">
            <v>High Tech</v>
          </cell>
          <cell r="C882">
            <v>7</v>
          </cell>
          <cell r="F882" t="str">
            <v>7374</v>
          </cell>
          <cell r="G882" t="str">
            <v>High Tech</v>
          </cell>
          <cell r="H882">
            <v>6</v>
          </cell>
        </row>
        <row r="883">
          <cell r="A883" t="str">
            <v>7375</v>
          </cell>
          <cell r="B883" t="str">
            <v>High Tech</v>
          </cell>
          <cell r="C883">
            <v>7</v>
          </cell>
          <cell r="F883" t="str">
            <v>7375</v>
          </cell>
          <cell r="G883" t="str">
            <v>High Tech</v>
          </cell>
          <cell r="H883">
            <v>6</v>
          </cell>
        </row>
        <row r="884">
          <cell r="A884" t="str">
            <v>7376</v>
          </cell>
          <cell r="B884" t="str">
            <v>High Tech</v>
          </cell>
          <cell r="C884">
            <v>7</v>
          </cell>
          <cell r="F884" t="str">
            <v>7376</v>
          </cell>
          <cell r="G884" t="str">
            <v>High Tech</v>
          </cell>
          <cell r="H884">
            <v>6</v>
          </cell>
        </row>
        <row r="885">
          <cell r="A885" t="str">
            <v>7377</v>
          </cell>
          <cell r="B885" t="str">
            <v>High Tech</v>
          </cell>
          <cell r="C885">
            <v>7</v>
          </cell>
          <cell r="F885" t="str">
            <v>7377</v>
          </cell>
          <cell r="G885" t="str">
            <v>High Tech</v>
          </cell>
          <cell r="H885">
            <v>5</v>
          </cell>
        </row>
        <row r="886">
          <cell r="A886" t="str">
            <v>7378</v>
          </cell>
          <cell r="B886" t="str">
            <v>High Tech</v>
          </cell>
          <cell r="C886">
            <v>5</v>
          </cell>
          <cell r="F886" t="str">
            <v>7378</v>
          </cell>
          <cell r="G886" t="str">
            <v>High Tech</v>
          </cell>
          <cell r="H886">
            <v>7</v>
          </cell>
        </row>
        <row r="887">
          <cell r="A887" t="str">
            <v xml:space="preserve">7379 </v>
          </cell>
          <cell r="B887" t="str">
            <v>High Tech</v>
          </cell>
          <cell r="C887">
            <v>5</v>
          </cell>
          <cell r="F887" t="str">
            <v xml:space="preserve">7379 </v>
          </cell>
          <cell r="G887" t="str">
            <v>High Tech</v>
          </cell>
          <cell r="H887">
            <v>5</v>
          </cell>
        </row>
        <row r="888">
          <cell r="A888" t="str">
            <v>7381</v>
          </cell>
          <cell r="B888" t="str">
            <v>Services</v>
          </cell>
          <cell r="C888" t="str">
            <v>NA</v>
          </cell>
          <cell r="F888" t="str">
            <v>7381</v>
          </cell>
          <cell r="G888" t="str">
            <v>Services</v>
          </cell>
          <cell r="H888" t="str">
            <v>NA</v>
          </cell>
        </row>
        <row r="889">
          <cell r="A889" t="str">
            <v>7382</v>
          </cell>
          <cell r="B889" t="str">
            <v>Services</v>
          </cell>
          <cell r="C889" t="str">
            <v>NA</v>
          </cell>
          <cell r="F889" t="str">
            <v>7382</v>
          </cell>
          <cell r="G889" t="str">
            <v>Services</v>
          </cell>
          <cell r="H889" t="str">
            <v>NA</v>
          </cell>
        </row>
        <row r="890">
          <cell r="A890" t="str">
            <v>7383</v>
          </cell>
          <cell r="B890" t="str">
            <v>Services</v>
          </cell>
          <cell r="C890" t="str">
            <v>NA</v>
          </cell>
          <cell r="F890" t="str">
            <v>7383</v>
          </cell>
          <cell r="G890" t="str">
            <v>Services</v>
          </cell>
          <cell r="H890" t="str">
            <v>NA</v>
          </cell>
        </row>
        <row r="891">
          <cell r="A891" t="str">
            <v>7384</v>
          </cell>
          <cell r="B891" t="str">
            <v>Services</v>
          </cell>
          <cell r="C891">
            <v>4</v>
          </cell>
          <cell r="F891" t="str">
            <v>7384</v>
          </cell>
          <cell r="G891" t="str">
            <v>Services</v>
          </cell>
          <cell r="H891">
            <v>2</v>
          </cell>
        </row>
        <row r="892">
          <cell r="A892" t="str">
            <v>7389</v>
          </cell>
          <cell r="B892" t="str">
            <v>Services</v>
          </cell>
          <cell r="C892">
            <v>5</v>
          </cell>
          <cell r="F892" t="str">
            <v>7389</v>
          </cell>
          <cell r="G892" t="str">
            <v>Services</v>
          </cell>
          <cell r="H892">
            <v>5</v>
          </cell>
        </row>
        <row r="893">
          <cell r="A893" t="str">
            <v>7513</v>
          </cell>
          <cell r="B893" t="str">
            <v>Services</v>
          </cell>
          <cell r="C893" t="str">
            <v>NA</v>
          </cell>
          <cell r="F893" t="str">
            <v>7513</v>
          </cell>
          <cell r="G893" t="str">
            <v>Services</v>
          </cell>
          <cell r="H893" t="str">
            <v>NA</v>
          </cell>
        </row>
        <row r="894">
          <cell r="A894" t="str">
            <v>7514</v>
          </cell>
          <cell r="B894" t="str">
            <v>Services</v>
          </cell>
          <cell r="C894" t="str">
            <v>NA</v>
          </cell>
          <cell r="F894" t="str">
            <v>7514</v>
          </cell>
          <cell r="G894" t="str">
            <v>Services</v>
          </cell>
          <cell r="H894" t="str">
            <v>NA</v>
          </cell>
        </row>
        <row r="895">
          <cell r="A895" t="str">
            <v>7515</v>
          </cell>
          <cell r="B895" t="str">
            <v>Services</v>
          </cell>
          <cell r="C895" t="str">
            <v>NA</v>
          </cell>
          <cell r="F895" t="str">
            <v>7515</v>
          </cell>
          <cell r="G895" t="str">
            <v>Services</v>
          </cell>
          <cell r="H895" t="str">
            <v>NA</v>
          </cell>
        </row>
        <row r="896">
          <cell r="A896" t="str">
            <v>7519</v>
          </cell>
          <cell r="B896" t="str">
            <v>Services</v>
          </cell>
          <cell r="C896" t="str">
            <v>NA</v>
          </cell>
          <cell r="F896" t="str">
            <v>7519</v>
          </cell>
          <cell r="G896" t="str">
            <v>Services</v>
          </cell>
          <cell r="H896" t="str">
            <v>NA</v>
          </cell>
        </row>
        <row r="897">
          <cell r="A897" t="str">
            <v>7521</v>
          </cell>
          <cell r="B897" t="str">
            <v>Services</v>
          </cell>
          <cell r="C897" t="str">
            <v>NA</v>
          </cell>
          <cell r="F897" t="str">
            <v>7521</v>
          </cell>
          <cell r="G897" t="str">
            <v>Services</v>
          </cell>
          <cell r="H897" t="str">
            <v>NA</v>
          </cell>
        </row>
        <row r="898">
          <cell r="A898" t="str">
            <v>7532</v>
          </cell>
          <cell r="B898" t="str">
            <v>Services</v>
          </cell>
          <cell r="C898">
            <v>7</v>
          </cell>
          <cell r="F898" t="str">
            <v>7532</v>
          </cell>
          <cell r="G898" t="str">
            <v>Services</v>
          </cell>
          <cell r="H898">
            <v>6</v>
          </cell>
        </row>
        <row r="899">
          <cell r="A899" t="str">
            <v>7533</v>
          </cell>
          <cell r="B899" t="str">
            <v>Services</v>
          </cell>
          <cell r="C899">
            <v>5</v>
          </cell>
          <cell r="F899" t="str">
            <v>7533</v>
          </cell>
          <cell r="G899" t="str">
            <v>Services</v>
          </cell>
          <cell r="H899">
            <v>7</v>
          </cell>
        </row>
        <row r="900">
          <cell r="A900" t="str">
            <v>7534</v>
          </cell>
          <cell r="B900" t="str">
            <v>Services</v>
          </cell>
          <cell r="C900" t="str">
            <v>NA</v>
          </cell>
          <cell r="F900" t="str">
            <v>7534</v>
          </cell>
          <cell r="G900" t="str">
            <v>Services</v>
          </cell>
          <cell r="H900" t="str">
            <v>NA</v>
          </cell>
        </row>
        <row r="901">
          <cell r="A901" t="str">
            <v>7536</v>
          </cell>
          <cell r="B901" t="str">
            <v>Services</v>
          </cell>
          <cell r="C901">
            <v>5</v>
          </cell>
          <cell r="F901" t="str">
            <v>7536</v>
          </cell>
          <cell r="G901" t="str">
            <v>Services</v>
          </cell>
          <cell r="H901">
            <v>4</v>
          </cell>
        </row>
        <row r="902">
          <cell r="A902" t="str">
            <v>7537</v>
          </cell>
          <cell r="B902" t="str">
            <v>Services</v>
          </cell>
          <cell r="C902">
            <v>5</v>
          </cell>
          <cell r="F902" t="str">
            <v>7537</v>
          </cell>
          <cell r="G902" t="str">
            <v>Services</v>
          </cell>
          <cell r="H902">
            <v>6</v>
          </cell>
        </row>
        <row r="903">
          <cell r="A903" t="str">
            <v>7538</v>
          </cell>
          <cell r="B903" t="str">
            <v>Services</v>
          </cell>
          <cell r="C903">
            <v>6</v>
          </cell>
          <cell r="F903" t="str">
            <v>7538</v>
          </cell>
          <cell r="G903" t="str">
            <v>Services</v>
          </cell>
          <cell r="H903">
            <v>7</v>
          </cell>
        </row>
        <row r="904">
          <cell r="A904" t="str">
            <v>7539</v>
          </cell>
          <cell r="B904" t="str">
            <v>Services</v>
          </cell>
          <cell r="C904">
            <v>5</v>
          </cell>
          <cell r="F904" t="str">
            <v>7539</v>
          </cell>
          <cell r="G904" t="str">
            <v>Services</v>
          </cell>
          <cell r="H904">
            <v>7</v>
          </cell>
        </row>
        <row r="905">
          <cell r="A905" t="str">
            <v>7542</v>
          </cell>
          <cell r="B905" t="str">
            <v>Services</v>
          </cell>
          <cell r="C905">
            <v>6</v>
          </cell>
          <cell r="F905" t="str">
            <v>7542</v>
          </cell>
          <cell r="G905" t="str">
            <v>Services</v>
          </cell>
          <cell r="H905">
            <v>9</v>
          </cell>
        </row>
        <row r="906">
          <cell r="A906" t="str">
            <v>7549</v>
          </cell>
          <cell r="B906" t="str">
            <v>Services</v>
          </cell>
          <cell r="C906">
            <v>5</v>
          </cell>
          <cell r="F906" t="str">
            <v>7549</v>
          </cell>
          <cell r="G906" t="str">
            <v>Services</v>
          </cell>
          <cell r="H906">
            <v>6</v>
          </cell>
        </row>
        <row r="907">
          <cell r="A907" t="str">
            <v>7622</v>
          </cell>
          <cell r="B907" t="str">
            <v>Services</v>
          </cell>
          <cell r="C907">
            <v>7</v>
          </cell>
          <cell r="F907" t="str">
            <v>7622</v>
          </cell>
          <cell r="G907" t="str">
            <v>Services</v>
          </cell>
          <cell r="H907">
            <v>4</v>
          </cell>
        </row>
        <row r="908">
          <cell r="A908" t="str">
            <v>7623</v>
          </cell>
          <cell r="B908" t="str">
            <v>Services</v>
          </cell>
          <cell r="C908">
            <v>7</v>
          </cell>
          <cell r="F908" t="str">
            <v>7623</v>
          </cell>
          <cell r="G908" t="str">
            <v>Services</v>
          </cell>
          <cell r="H908">
            <v>5</v>
          </cell>
        </row>
        <row r="909">
          <cell r="A909" t="str">
            <v>7629</v>
          </cell>
          <cell r="B909" t="str">
            <v>Services</v>
          </cell>
          <cell r="C909">
            <v>7</v>
          </cell>
          <cell r="F909" t="str">
            <v>7629</v>
          </cell>
          <cell r="G909" t="str">
            <v>Services</v>
          </cell>
          <cell r="H909">
            <v>5</v>
          </cell>
        </row>
        <row r="910">
          <cell r="A910" t="str">
            <v>7631</v>
          </cell>
          <cell r="B910" t="str">
            <v>Services</v>
          </cell>
          <cell r="C910">
            <v>8</v>
          </cell>
          <cell r="F910" t="str">
            <v>7631</v>
          </cell>
          <cell r="G910" t="str">
            <v>Services</v>
          </cell>
          <cell r="H910">
            <v>4</v>
          </cell>
        </row>
        <row r="911">
          <cell r="A911" t="str">
            <v>7641</v>
          </cell>
          <cell r="B911" t="str">
            <v>Services</v>
          </cell>
          <cell r="C911">
            <v>8</v>
          </cell>
          <cell r="F911" t="str">
            <v>7641</v>
          </cell>
          <cell r="G911" t="str">
            <v>Services</v>
          </cell>
          <cell r="H911">
            <v>6</v>
          </cell>
        </row>
        <row r="912">
          <cell r="A912" t="str">
            <v>7692</v>
          </cell>
          <cell r="B912" t="str">
            <v>Services</v>
          </cell>
          <cell r="C912" t="str">
            <v>NA</v>
          </cell>
          <cell r="F912" t="str">
            <v>7692</v>
          </cell>
          <cell r="G912" t="str">
            <v>Services</v>
          </cell>
          <cell r="H912" t="str">
            <v>NA</v>
          </cell>
        </row>
        <row r="913">
          <cell r="A913" t="str">
            <v>7694</v>
          </cell>
          <cell r="B913" t="str">
            <v>Services</v>
          </cell>
          <cell r="C913" t="str">
            <v>NA</v>
          </cell>
          <cell r="F913" t="str">
            <v>7694</v>
          </cell>
          <cell r="G913" t="str">
            <v>Services</v>
          </cell>
          <cell r="H913" t="str">
            <v>NA</v>
          </cell>
        </row>
        <row r="914">
          <cell r="A914" t="str">
            <v>7699</v>
          </cell>
          <cell r="B914" t="str">
            <v>Services</v>
          </cell>
          <cell r="C914">
            <v>5</v>
          </cell>
          <cell r="F914" t="str">
            <v>7699</v>
          </cell>
          <cell r="G914" t="str">
            <v>Services</v>
          </cell>
          <cell r="H914">
            <v>5</v>
          </cell>
        </row>
        <row r="915">
          <cell r="A915" t="str">
            <v>7812</v>
          </cell>
          <cell r="B915" t="str">
            <v>Manufacturing</v>
          </cell>
          <cell r="C915" t="str">
            <v>NA</v>
          </cell>
          <cell r="F915" t="str">
            <v>7812</v>
          </cell>
          <cell r="G915" t="str">
            <v>Manufacturing</v>
          </cell>
          <cell r="H915" t="str">
            <v>NA</v>
          </cell>
        </row>
        <row r="916">
          <cell r="A916" t="str">
            <v>7819</v>
          </cell>
          <cell r="B916" t="str">
            <v>Services</v>
          </cell>
          <cell r="C916">
            <v>7</v>
          </cell>
          <cell r="F916" t="str">
            <v>7819</v>
          </cell>
          <cell r="G916" t="str">
            <v>Services</v>
          </cell>
          <cell r="H916">
            <v>7</v>
          </cell>
        </row>
        <row r="917">
          <cell r="A917" t="str">
            <v>7822</v>
          </cell>
          <cell r="B917" t="str">
            <v>Services</v>
          </cell>
          <cell r="C917">
            <v>8</v>
          </cell>
          <cell r="F917" t="str">
            <v>7822</v>
          </cell>
          <cell r="G917" t="str">
            <v>Services</v>
          </cell>
          <cell r="H917">
            <v>5</v>
          </cell>
        </row>
        <row r="918">
          <cell r="A918" t="str">
            <v>7829</v>
          </cell>
          <cell r="B918" t="str">
            <v>Services</v>
          </cell>
          <cell r="C918">
            <v>8</v>
          </cell>
          <cell r="F918" t="str">
            <v>7829</v>
          </cell>
          <cell r="G918" t="str">
            <v>Services</v>
          </cell>
          <cell r="H918">
            <v>5</v>
          </cell>
        </row>
        <row r="919">
          <cell r="A919" t="str">
            <v>7832</v>
          </cell>
          <cell r="B919" t="str">
            <v>Services</v>
          </cell>
          <cell r="C919" t="str">
            <v>NA</v>
          </cell>
          <cell r="F919" t="str">
            <v>7832</v>
          </cell>
          <cell r="G919" t="str">
            <v>Services</v>
          </cell>
          <cell r="H919" t="str">
            <v>NA</v>
          </cell>
        </row>
        <row r="920">
          <cell r="A920" t="str">
            <v>7833</v>
          </cell>
          <cell r="B920" t="str">
            <v>Services</v>
          </cell>
          <cell r="C920" t="str">
            <v>NA</v>
          </cell>
          <cell r="F920" t="str">
            <v>7833</v>
          </cell>
          <cell r="G920" t="str">
            <v>Services</v>
          </cell>
          <cell r="H920" t="str">
            <v>NA</v>
          </cell>
        </row>
        <row r="921">
          <cell r="A921" t="str">
            <v>7841</v>
          </cell>
          <cell r="B921" t="str">
            <v>Retail</v>
          </cell>
          <cell r="C921">
            <v>3</v>
          </cell>
          <cell r="F921" t="str">
            <v>7841</v>
          </cell>
          <cell r="G921" t="str">
            <v>Retail</v>
          </cell>
          <cell r="H921">
            <v>3</v>
          </cell>
        </row>
        <row r="922">
          <cell r="A922" t="str">
            <v>7911</v>
          </cell>
          <cell r="B922" t="str">
            <v>Services</v>
          </cell>
          <cell r="C922">
            <v>4</v>
          </cell>
          <cell r="F922" t="str">
            <v>7911</v>
          </cell>
          <cell r="G922" t="str">
            <v>Services</v>
          </cell>
          <cell r="H922">
            <v>8</v>
          </cell>
        </row>
        <row r="923">
          <cell r="A923" t="str">
            <v>7922</v>
          </cell>
          <cell r="B923" t="str">
            <v>Services</v>
          </cell>
          <cell r="C923" t="str">
            <v>NA</v>
          </cell>
          <cell r="F923" t="str">
            <v>7922</v>
          </cell>
          <cell r="G923" t="str">
            <v>Services</v>
          </cell>
          <cell r="H923" t="str">
            <v>NA</v>
          </cell>
        </row>
        <row r="924">
          <cell r="A924" t="str">
            <v>7929</v>
          </cell>
          <cell r="B924" t="str">
            <v>Services</v>
          </cell>
          <cell r="C924" t="str">
            <v>NA</v>
          </cell>
          <cell r="F924" t="str">
            <v>7929</v>
          </cell>
          <cell r="G924" t="str">
            <v>Services</v>
          </cell>
          <cell r="H924" t="str">
            <v>NA</v>
          </cell>
        </row>
        <row r="925">
          <cell r="A925" t="str">
            <v>7933</v>
          </cell>
          <cell r="B925" t="str">
            <v>Services</v>
          </cell>
          <cell r="C925" t="str">
            <v>NA</v>
          </cell>
          <cell r="F925" t="str">
            <v>7933</v>
          </cell>
          <cell r="G925" t="str">
            <v>Services</v>
          </cell>
          <cell r="H925" t="str">
            <v>NA</v>
          </cell>
        </row>
        <row r="926">
          <cell r="A926" t="str">
            <v>7941</v>
          </cell>
          <cell r="B926" t="str">
            <v>Services</v>
          </cell>
          <cell r="C926" t="str">
            <v>NA</v>
          </cell>
          <cell r="F926" t="str">
            <v>7941</v>
          </cell>
          <cell r="G926" t="str">
            <v>Services</v>
          </cell>
          <cell r="H926" t="str">
            <v>NA</v>
          </cell>
        </row>
        <row r="927">
          <cell r="A927" t="str">
            <v>7948</v>
          </cell>
          <cell r="B927" t="str">
            <v>Services</v>
          </cell>
          <cell r="C927" t="str">
            <v>NA</v>
          </cell>
          <cell r="F927" t="str">
            <v>7948</v>
          </cell>
          <cell r="G927" t="str">
            <v>Services</v>
          </cell>
          <cell r="H927" t="str">
            <v>NA</v>
          </cell>
        </row>
        <row r="928">
          <cell r="A928" t="str">
            <v>7991</v>
          </cell>
          <cell r="B928" t="str">
            <v>Services</v>
          </cell>
          <cell r="C928" t="str">
            <v>NA</v>
          </cell>
          <cell r="F928" t="str">
            <v>7991</v>
          </cell>
          <cell r="G928" t="str">
            <v>Services</v>
          </cell>
          <cell r="H928" t="str">
            <v>NA</v>
          </cell>
        </row>
        <row r="929">
          <cell r="A929" t="str">
            <v>7992</v>
          </cell>
          <cell r="B929" t="str">
            <v>Services</v>
          </cell>
          <cell r="C929" t="str">
            <v>NA</v>
          </cell>
          <cell r="F929" t="str">
            <v>7992</v>
          </cell>
          <cell r="G929" t="str">
            <v>Services</v>
          </cell>
          <cell r="H929" t="str">
            <v>NA</v>
          </cell>
        </row>
        <row r="930">
          <cell r="A930" t="str">
            <v>7993</v>
          </cell>
          <cell r="B930" t="str">
            <v>Services</v>
          </cell>
          <cell r="C930" t="str">
            <v>NA</v>
          </cell>
          <cell r="F930" t="str">
            <v>7993</v>
          </cell>
          <cell r="G930" t="str">
            <v>Services</v>
          </cell>
          <cell r="H930" t="str">
            <v>NA</v>
          </cell>
        </row>
        <row r="931">
          <cell r="A931" t="str">
            <v>7996</v>
          </cell>
          <cell r="B931" t="str">
            <v>Services</v>
          </cell>
          <cell r="C931" t="str">
            <v>NA</v>
          </cell>
          <cell r="F931" t="str">
            <v>7996</v>
          </cell>
          <cell r="G931" t="str">
            <v>Services</v>
          </cell>
          <cell r="H931" t="str">
            <v>NA</v>
          </cell>
        </row>
        <row r="932">
          <cell r="A932" t="str">
            <v>7997</v>
          </cell>
          <cell r="B932" t="str">
            <v>Services</v>
          </cell>
          <cell r="C932" t="str">
            <v>NA</v>
          </cell>
          <cell r="F932" t="str">
            <v>7997</v>
          </cell>
          <cell r="G932" t="str">
            <v>Services</v>
          </cell>
          <cell r="H932" t="str">
            <v>NA</v>
          </cell>
        </row>
        <row r="933">
          <cell r="A933" t="str">
            <v>7999</v>
          </cell>
          <cell r="B933" t="str">
            <v>Services</v>
          </cell>
          <cell r="C933" t="str">
            <v>NA</v>
          </cell>
          <cell r="F933" t="str">
            <v>7999</v>
          </cell>
          <cell r="G933" t="str">
            <v>Services</v>
          </cell>
          <cell r="H933" t="str">
            <v>NA</v>
          </cell>
        </row>
        <row r="934">
          <cell r="A934" t="str">
            <v>8011</v>
          </cell>
          <cell r="B934" t="str">
            <v>Office</v>
          </cell>
          <cell r="C934">
            <v>3</v>
          </cell>
          <cell r="F934" t="str">
            <v>8011</v>
          </cell>
          <cell r="G934" t="str">
            <v>Office</v>
          </cell>
          <cell r="H934">
            <v>3</v>
          </cell>
        </row>
        <row r="935">
          <cell r="A935" t="str">
            <v>8021</v>
          </cell>
          <cell r="B935" t="str">
            <v>Office</v>
          </cell>
          <cell r="C935">
            <v>2</v>
          </cell>
          <cell r="F935" t="str">
            <v>8021</v>
          </cell>
          <cell r="G935" t="str">
            <v>Office</v>
          </cell>
          <cell r="H935">
            <v>2</v>
          </cell>
        </row>
        <row r="936">
          <cell r="A936" t="str">
            <v>8031</v>
          </cell>
          <cell r="B936" t="str">
            <v>Office</v>
          </cell>
          <cell r="C936">
            <v>2</v>
          </cell>
          <cell r="F936" t="str">
            <v>8031</v>
          </cell>
          <cell r="G936" t="str">
            <v>Office</v>
          </cell>
          <cell r="H936">
            <v>3</v>
          </cell>
        </row>
        <row r="937">
          <cell r="A937" t="str">
            <v>8041</v>
          </cell>
          <cell r="B937" t="str">
            <v>Office</v>
          </cell>
          <cell r="C937">
            <v>2</v>
          </cell>
          <cell r="F937" t="str">
            <v>8041</v>
          </cell>
          <cell r="G937" t="str">
            <v>Office</v>
          </cell>
          <cell r="H937">
            <v>4</v>
          </cell>
        </row>
        <row r="938">
          <cell r="A938" t="str">
            <v>8042</v>
          </cell>
          <cell r="B938" t="str">
            <v>Office</v>
          </cell>
          <cell r="C938">
            <v>2</v>
          </cell>
          <cell r="F938" t="str">
            <v>8042</v>
          </cell>
          <cell r="G938" t="str">
            <v>Office</v>
          </cell>
          <cell r="H938">
            <v>2</v>
          </cell>
        </row>
        <row r="939">
          <cell r="A939" t="str">
            <v>8043</v>
          </cell>
          <cell r="B939" t="str">
            <v>Office</v>
          </cell>
          <cell r="C939">
            <v>2</v>
          </cell>
          <cell r="F939" t="str">
            <v>8043</v>
          </cell>
          <cell r="G939" t="str">
            <v>Office</v>
          </cell>
          <cell r="H939">
            <v>2</v>
          </cell>
        </row>
        <row r="940">
          <cell r="A940" t="str">
            <v>8049</v>
          </cell>
          <cell r="B940" t="str">
            <v>Office</v>
          </cell>
          <cell r="C940">
            <v>3</v>
          </cell>
          <cell r="F940" t="str">
            <v>8049</v>
          </cell>
          <cell r="G940" t="str">
            <v>Office</v>
          </cell>
          <cell r="H940">
            <v>4</v>
          </cell>
        </row>
        <row r="941">
          <cell r="A941" t="str">
            <v>8051</v>
          </cell>
          <cell r="B941" t="str">
            <v>Office</v>
          </cell>
          <cell r="C941" t="str">
            <v>NA</v>
          </cell>
          <cell r="F941" t="str">
            <v>8051</v>
          </cell>
          <cell r="G941" t="str">
            <v>Office</v>
          </cell>
          <cell r="H941" t="str">
            <v>NA</v>
          </cell>
        </row>
        <row r="942">
          <cell r="A942" t="str">
            <v>8052</v>
          </cell>
          <cell r="B942" t="str">
            <v>Office</v>
          </cell>
          <cell r="C942" t="str">
            <v>NA</v>
          </cell>
          <cell r="F942" t="str">
            <v>8052</v>
          </cell>
          <cell r="G942" t="str">
            <v>Office</v>
          </cell>
          <cell r="H942" t="str">
            <v>NA</v>
          </cell>
        </row>
        <row r="943">
          <cell r="A943" t="str">
            <v>8059</v>
          </cell>
          <cell r="B943" t="str">
            <v>Habitational</v>
          </cell>
          <cell r="C943" t="str">
            <v>NA</v>
          </cell>
          <cell r="F943" t="str">
            <v>8059</v>
          </cell>
          <cell r="G943" t="str">
            <v>Habitational</v>
          </cell>
          <cell r="H943" t="str">
            <v>NA</v>
          </cell>
        </row>
        <row r="944">
          <cell r="A944" t="str">
            <v>8062</v>
          </cell>
          <cell r="B944" t="str">
            <v>Office</v>
          </cell>
          <cell r="C944" t="str">
            <v>NA</v>
          </cell>
          <cell r="F944" t="str">
            <v>8062</v>
          </cell>
          <cell r="G944" t="str">
            <v>Office</v>
          </cell>
          <cell r="H944" t="str">
            <v>NA</v>
          </cell>
        </row>
        <row r="945">
          <cell r="A945" t="str">
            <v>8063</v>
          </cell>
          <cell r="B945" t="str">
            <v>Office</v>
          </cell>
          <cell r="C945" t="str">
            <v>NA</v>
          </cell>
          <cell r="F945" t="str">
            <v>8063</v>
          </cell>
          <cell r="G945" t="str">
            <v>Office</v>
          </cell>
          <cell r="H945" t="str">
            <v>NA</v>
          </cell>
        </row>
        <row r="946">
          <cell r="A946" t="str">
            <v>8069</v>
          </cell>
          <cell r="B946" t="str">
            <v>Office</v>
          </cell>
          <cell r="C946" t="str">
            <v>NA</v>
          </cell>
          <cell r="F946" t="str">
            <v>8069</v>
          </cell>
          <cell r="G946" t="str">
            <v>Office</v>
          </cell>
          <cell r="H946" t="str">
            <v>NA</v>
          </cell>
        </row>
        <row r="947">
          <cell r="A947" t="str">
            <v>8071</v>
          </cell>
          <cell r="B947" t="str">
            <v>Services</v>
          </cell>
          <cell r="C947">
            <v>5</v>
          </cell>
          <cell r="F947" t="str">
            <v>8071</v>
          </cell>
          <cell r="G947" t="str">
            <v>Services</v>
          </cell>
          <cell r="H947">
            <v>7</v>
          </cell>
        </row>
        <row r="948">
          <cell r="A948" t="str">
            <v>8072</v>
          </cell>
          <cell r="B948" t="str">
            <v>Services</v>
          </cell>
          <cell r="C948">
            <v>3</v>
          </cell>
          <cell r="F948" t="str">
            <v>8072</v>
          </cell>
          <cell r="G948" t="str">
            <v>Services</v>
          </cell>
          <cell r="H948">
            <v>3</v>
          </cell>
        </row>
        <row r="949">
          <cell r="A949" t="str">
            <v>8082</v>
          </cell>
          <cell r="B949" t="str">
            <v>Services</v>
          </cell>
          <cell r="C949">
            <v>4</v>
          </cell>
          <cell r="F949" t="str">
            <v>8082</v>
          </cell>
          <cell r="G949" t="str">
            <v>Services</v>
          </cell>
          <cell r="H949">
            <v>9</v>
          </cell>
        </row>
        <row r="950">
          <cell r="A950" t="str">
            <v>8092</v>
          </cell>
          <cell r="B950" t="str">
            <v>Office</v>
          </cell>
          <cell r="C950" t="str">
            <v>NA</v>
          </cell>
          <cell r="F950" t="str">
            <v>8092</v>
          </cell>
          <cell r="G950" t="str">
            <v>Office</v>
          </cell>
          <cell r="H950" t="str">
            <v>NA</v>
          </cell>
        </row>
        <row r="951">
          <cell r="A951" t="str">
            <v>8093</v>
          </cell>
          <cell r="B951" t="str">
            <v>Office</v>
          </cell>
          <cell r="C951" t="str">
            <v>NA</v>
          </cell>
          <cell r="F951" t="str">
            <v>8093</v>
          </cell>
          <cell r="G951" t="str">
            <v>Office</v>
          </cell>
          <cell r="H951" t="str">
            <v>NA</v>
          </cell>
        </row>
        <row r="952">
          <cell r="A952" t="str">
            <v>8099</v>
          </cell>
          <cell r="B952" t="str">
            <v>Office</v>
          </cell>
          <cell r="C952">
            <v>6</v>
          </cell>
          <cell r="F952" t="str">
            <v>8099</v>
          </cell>
          <cell r="G952" t="str">
            <v>Office</v>
          </cell>
          <cell r="H952">
            <v>8</v>
          </cell>
        </row>
        <row r="953">
          <cell r="A953" t="str">
            <v>8111</v>
          </cell>
          <cell r="B953" t="str">
            <v>Office</v>
          </cell>
          <cell r="C953">
            <v>3</v>
          </cell>
          <cell r="F953" t="str">
            <v>8111</v>
          </cell>
          <cell r="G953" t="str">
            <v>Office</v>
          </cell>
          <cell r="H953">
            <v>3</v>
          </cell>
        </row>
        <row r="954">
          <cell r="A954" t="str">
            <v>8211</v>
          </cell>
          <cell r="B954" t="str">
            <v>Services</v>
          </cell>
          <cell r="C954" t="str">
            <v>NA</v>
          </cell>
          <cell r="F954" t="str">
            <v>8211</v>
          </cell>
          <cell r="G954" t="str">
            <v>Services</v>
          </cell>
          <cell r="H954" t="str">
            <v>NA</v>
          </cell>
        </row>
        <row r="955">
          <cell r="A955" t="str">
            <v>8221</v>
          </cell>
          <cell r="B955" t="str">
            <v>Services</v>
          </cell>
          <cell r="C955" t="str">
            <v>NA</v>
          </cell>
          <cell r="F955" t="str">
            <v>8221</v>
          </cell>
          <cell r="G955" t="str">
            <v>Services</v>
          </cell>
          <cell r="H955" t="str">
            <v>NA</v>
          </cell>
        </row>
        <row r="956">
          <cell r="A956" t="str">
            <v>8222</v>
          </cell>
          <cell r="B956" t="str">
            <v>Services</v>
          </cell>
          <cell r="C956" t="str">
            <v>NA</v>
          </cell>
          <cell r="F956" t="str">
            <v>8222</v>
          </cell>
          <cell r="G956" t="str">
            <v>Services</v>
          </cell>
          <cell r="H956" t="str">
            <v>NA</v>
          </cell>
        </row>
        <row r="957">
          <cell r="A957" t="str">
            <v>8231</v>
          </cell>
          <cell r="B957" t="str">
            <v>Services</v>
          </cell>
          <cell r="C957" t="str">
            <v>NA</v>
          </cell>
          <cell r="F957" t="str">
            <v>8231</v>
          </cell>
          <cell r="G957" t="str">
            <v>Services</v>
          </cell>
          <cell r="H957" t="str">
            <v>NA</v>
          </cell>
        </row>
        <row r="958">
          <cell r="A958" t="str">
            <v>8243</v>
          </cell>
          <cell r="B958" t="str">
            <v>Services</v>
          </cell>
          <cell r="C958" t="str">
            <v>NA</v>
          </cell>
          <cell r="F958" t="str">
            <v>8243</v>
          </cell>
          <cell r="G958" t="str">
            <v>Services</v>
          </cell>
          <cell r="H958" t="str">
            <v>NA</v>
          </cell>
        </row>
        <row r="959">
          <cell r="A959" t="str">
            <v>8244</v>
          </cell>
          <cell r="B959" t="str">
            <v>Services</v>
          </cell>
          <cell r="C959" t="str">
            <v>NA</v>
          </cell>
          <cell r="F959" t="str">
            <v>8244</v>
          </cell>
          <cell r="G959" t="str">
            <v>Services</v>
          </cell>
          <cell r="H959" t="str">
            <v>NA</v>
          </cell>
        </row>
        <row r="960">
          <cell r="A960" t="str">
            <v>8249</v>
          </cell>
          <cell r="B960" t="str">
            <v>Services</v>
          </cell>
          <cell r="C960" t="str">
            <v>NA</v>
          </cell>
          <cell r="F960" t="str">
            <v>8249</v>
          </cell>
          <cell r="G960" t="str">
            <v>Services</v>
          </cell>
          <cell r="H960" t="str">
            <v>NA</v>
          </cell>
        </row>
        <row r="961">
          <cell r="A961" t="str">
            <v>8299</v>
          </cell>
          <cell r="B961" t="str">
            <v>Services</v>
          </cell>
          <cell r="C961">
            <v>6</v>
          </cell>
          <cell r="F961" t="str">
            <v>8299</v>
          </cell>
          <cell r="G961" t="str">
            <v>Services</v>
          </cell>
          <cell r="H961">
            <v>5</v>
          </cell>
        </row>
        <row r="962">
          <cell r="A962" t="str">
            <v>8322</v>
          </cell>
          <cell r="B962" t="str">
            <v>Services</v>
          </cell>
          <cell r="C962">
            <v>4</v>
          </cell>
          <cell r="F962" t="str">
            <v>8322</v>
          </cell>
          <cell r="G962" t="str">
            <v>Services</v>
          </cell>
          <cell r="H962">
            <v>8</v>
          </cell>
        </row>
        <row r="963">
          <cell r="A963" t="str">
            <v>8331</v>
          </cell>
          <cell r="B963" t="str">
            <v>Services</v>
          </cell>
          <cell r="C963">
            <v>4</v>
          </cell>
          <cell r="F963" t="str">
            <v>8331</v>
          </cell>
          <cell r="G963" t="str">
            <v>Services</v>
          </cell>
          <cell r="H963">
            <v>7</v>
          </cell>
        </row>
        <row r="964">
          <cell r="A964" t="str">
            <v>8351</v>
          </cell>
          <cell r="B964" t="str">
            <v>Services</v>
          </cell>
          <cell r="C964" t="str">
            <v>NA</v>
          </cell>
          <cell r="F964" t="str">
            <v>8351</v>
          </cell>
          <cell r="G964" t="str">
            <v>Services</v>
          </cell>
          <cell r="H964" t="str">
            <v>NA</v>
          </cell>
        </row>
        <row r="965">
          <cell r="A965" t="str">
            <v>8361</v>
          </cell>
          <cell r="B965" t="str">
            <v>Services</v>
          </cell>
          <cell r="C965" t="str">
            <v>NA</v>
          </cell>
          <cell r="F965" t="str">
            <v>8361</v>
          </cell>
          <cell r="G965" t="str">
            <v>Services</v>
          </cell>
          <cell r="H965" t="str">
            <v>NA</v>
          </cell>
        </row>
        <row r="966">
          <cell r="A966" t="str">
            <v>8399</v>
          </cell>
          <cell r="B966" t="str">
            <v>Services</v>
          </cell>
          <cell r="C966">
            <v>5</v>
          </cell>
          <cell r="F966" t="str">
            <v>8399</v>
          </cell>
          <cell r="G966" t="str">
            <v>Services</v>
          </cell>
          <cell r="H966">
            <v>5</v>
          </cell>
        </row>
        <row r="967">
          <cell r="A967" t="str">
            <v>8412</v>
          </cell>
          <cell r="B967" t="str">
            <v>Services</v>
          </cell>
          <cell r="C967" t="str">
            <v>NA</v>
          </cell>
          <cell r="F967" t="str">
            <v>8412</v>
          </cell>
          <cell r="G967" t="str">
            <v>Services</v>
          </cell>
          <cell r="H967" t="str">
            <v>NA</v>
          </cell>
        </row>
        <row r="968">
          <cell r="A968" t="str">
            <v>8422</v>
          </cell>
          <cell r="B968" t="str">
            <v>Services</v>
          </cell>
          <cell r="C968" t="str">
            <v>NA</v>
          </cell>
          <cell r="F968" t="str">
            <v>8422</v>
          </cell>
          <cell r="G968" t="str">
            <v>Services</v>
          </cell>
          <cell r="H968" t="str">
            <v>NA</v>
          </cell>
        </row>
        <row r="969">
          <cell r="A969" t="str">
            <v>8611</v>
          </cell>
          <cell r="B969" t="str">
            <v>Services</v>
          </cell>
          <cell r="C969">
            <v>3</v>
          </cell>
          <cell r="F969" t="str">
            <v>8611</v>
          </cell>
          <cell r="G969" t="str">
            <v>Services</v>
          </cell>
          <cell r="H969">
            <v>6</v>
          </cell>
        </row>
        <row r="970">
          <cell r="A970" t="str">
            <v>8621</v>
          </cell>
          <cell r="B970" t="str">
            <v>Services</v>
          </cell>
          <cell r="C970">
            <v>3</v>
          </cell>
          <cell r="F970" t="str">
            <v>8621</v>
          </cell>
          <cell r="G970" t="str">
            <v>Services</v>
          </cell>
          <cell r="H970">
            <v>6</v>
          </cell>
        </row>
        <row r="971">
          <cell r="A971" t="str">
            <v>8631</v>
          </cell>
          <cell r="B971" t="str">
            <v>Services</v>
          </cell>
          <cell r="C971">
            <v>3</v>
          </cell>
          <cell r="F971" t="str">
            <v>8631</v>
          </cell>
          <cell r="G971" t="str">
            <v>Services</v>
          </cell>
          <cell r="H971">
            <v>8</v>
          </cell>
        </row>
        <row r="972">
          <cell r="A972" t="str">
            <v>8641</v>
          </cell>
          <cell r="B972" t="str">
            <v>Services</v>
          </cell>
          <cell r="C972">
            <v>3</v>
          </cell>
          <cell r="F972" t="str">
            <v>8641</v>
          </cell>
          <cell r="G972" t="str">
            <v>Services</v>
          </cell>
          <cell r="H972">
            <v>8</v>
          </cell>
        </row>
        <row r="973">
          <cell r="A973" t="str">
            <v>8651</v>
          </cell>
          <cell r="B973" t="str">
            <v>Services</v>
          </cell>
          <cell r="C973">
            <v>3</v>
          </cell>
          <cell r="F973" t="str">
            <v>8651</v>
          </cell>
          <cell r="G973" t="str">
            <v>Services</v>
          </cell>
          <cell r="H973">
            <v>8</v>
          </cell>
        </row>
        <row r="974">
          <cell r="A974" t="str">
            <v>8661</v>
          </cell>
          <cell r="B974" t="str">
            <v>Services</v>
          </cell>
          <cell r="C974" t="str">
            <v>NA</v>
          </cell>
          <cell r="F974" t="str">
            <v>8661</v>
          </cell>
          <cell r="G974" t="str">
            <v>Services</v>
          </cell>
          <cell r="H974" t="str">
            <v>NA</v>
          </cell>
        </row>
        <row r="975">
          <cell r="A975" t="str">
            <v>8699</v>
          </cell>
          <cell r="B975" t="str">
            <v>Services</v>
          </cell>
          <cell r="C975">
            <v>5</v>
          </cell>
          <cell r="F975" t="str">
            <v>8699</v>
          </cell>
          <cell r="G975" t="str">
            <v>Services</v>
          </cell>
          <cell r="H975">
            <v>5</v>
          </cell>
        </row>
        <row r="976">
          <cell r="A976" t="str">
            <v>8711</v>
          </cell>
          <cell r="B976" t="str">
            <v>Services</v>
          </cell>
          <cell r="C976">
            <v>3</v>
          </cell>
          <cell r="F976" t="str">
            <v>8711</v>
          </cell>
          <cell r="G976" t="str">
            <v>Services</v>
          </cell>
          <cell r="H976">
            <v>6</v>
          </cell>
        </row>
        <row r="977">
          <cell r="A977" t="str">
            <v>8712</v>
          </cell>
          <cell r="B977" t="str">
            <v>Services</v>
          </cell>
          <cell r="C977">
            <v>3</v>
          </cell>
          <cell r="F977" t="str">
            <v>8712</v>
          </cell>
          <cell r="G977" t="str">
            <v>Services</v>
          </cell>
          <cell r="H977">
            <v>7</v>
          </cell>
        </row>
        <row r="978">
          <cell r="A978" t="str">
            <v>8713</v>
          </cell>
          <cell r="B978" t="str">
            <v>Services</v>
          </cell>
          <cell r="C978">
            <v>3</v>
          </cell>
          <cell r="F978" t="str">
            <v>8713</v>
          </cell>
          <cell r="G978" t="str">
            <v>Services</v>
          </cell>
          <cell r="H978">
            <v>4</v>
          </cell>
        </row>
        <row r="979">
          <cell r="A979" t="str">
            <v>8721</v>
          </cell>
          <cell r="B979" t="str">
            <v>Office</v>
          </cell>
          <cell r="C979">
            <v>2</v>
          </cell>
          <cell r="F979" t="str">
            <v>8721</v>
          </cell>
          <cell r="G979" t="str">
            <v>Office</v>
          </cell>
          <cell r="H979">
            <v>3</v>
          </cell>
        </row>
        <row r="980">
          <cell r="A980" t="str">
            <v>8731</v>
          </cell>
          <cell r="B980" t="str">
            <v>Services</v>
          </cell>
          <cell r="C980">
            <v>4</v>
          </cell>
          <cell r="F980" t="str">
            <v>8731</v>
          </cell>
          <cell r="G980" t="str">
            <v>Services</v>
          </cell>
          <cell r="H980">
            <v>5</v>
          </cell>
        </row>
        <row r="981">
          <cell r="A981" t="str">
            <v>8732</v>
          </cell>
          <cell r="B981" t="str">
            <v>Services</v>
          </cell>
          <cell r="C981">
            <v>4</v>
          </cell>
          <cell r="F981" t="str">
            <v>8732</v>
          </cell>
          <cell r="G981" t="str">
            <v>Services</v>
          </cell>
          <cell r="H981">
            <v>4</v>
          </cell>
        </row>
        <row r="982">
          <cell r="A982" t="str">
            <v>8733</v>
          </cell>
          <cell r="B982" t="str">
            <v>Services</v>
          </cell>
          <cell r="C982">
            <v>4</v>
          </cell>
          <cell r="F982" t="str">
            <v>8733</v>
          </cell>
          <cell r="G982" t="str">
            <v>Services</v>
          </cell>
          <cell r="H982">
            <v>7</v>
          </cell>
        </row>
        <row r="983">
          <cell r="A983" t="str">
            <v>8734</v>
          </cell>
          <cell r="B983" t="str">
            <v>Services</v>
          </cell>
          <cell r="C983">
            <v>8</v>
          </cell>
          <cell r="F983" t="str">
            <v>8734</v>
          </cell>
          <cell r="G983" t="str">
            <v>Services</v>
          </cell>
          <cell r="H983">
            <v>7</v>
          </cell>
        </row>
        <row r="984">
          <cell r="A984" t="str">
            <v>8741</v>
          </cell>
          <cell r="B984" t="str">
            <v>Services</v>
          </cell>
          <cell r="C984">
            <v>4</v>
          </cell>
          <cell r="F984" t="str">
            <v>8741</v>
          </cell>
          <cell r="G984" t="str">
            <v>Services</v>
          </cell>
          <cell r="H984">
            <v>5</v>
          </cell>
        </row>
        <row r="985">
          <cell r="A985" t="str">
            <v>8742</v>
          </cell>
          <cell r="B985" t="str">
            <v>Services</v>
          </cell>
          <cell r="C985">
            <v>3</v>
          </cell>
          <cell r="F985" t="str">
            <v>8742</v>
          </cell>
          <cell r="G985" t="str">
            <v>Services</v>
          </cell>
          <cell r="H985">
            <v>5</v>
          </cell>
        </row>
        <row r="986">
          <cell r="A986" t="str">
            <v>8743</v>
          </cell>
          <cell r="B986" t="str">
            <v>Services</v>
          </cell>
          <cell r="C986">
            <v>3</v>
          </cell>
          <cell r="F986" t="str">
            <v>8743</v>
          </cell>
          <cell r="G986" t="str">
            <v>Services</v>
          </cell>
          <cell r="H986">
            <v>5</v>
          </cell>
        </row>
        <row r="987">
          <cell r="A987" t="str">
            <v>8744</v>
          </cell>
          <cell r="B987" t="str">
            <v>Services</v>
          </cell>
          <cell r="C987">
            <v>7</v>
          </cell>
          <cell r="F987" t="str">
            <v>8744</v>
          </cell>
          <cell r="G987" t="str">
            <v>Services</v>
          </cell>
          <cell r="H987">
            <v>9</v>
          </cell>
        </row>
        <row r="988">
          <cell r="A988" t="str">
            <v>8748</v>
          </cell>
          <cell r="B988" t="str">
            <v>Services</v>
          </cell>
          <cell r="C988">
            <v>3</v>
          </cell>
          <cell r="F988" t="str">
            <v>8748</v>
          </cell>
          <cell r="G988" t="str">
            <v>Services</v>
          </cell>
          <cell r="H988">
            <v>5</v>
          </cell>
        </row>
        <row r="989">
          <cell r="A989" t="str">
            <v>8811</v>
          </cell>
          <cell r="B989" t="str">
            <v>Habitational</v>
          </cell>
          <cell r="C989" t="str">
            <v>NA</v>
          </cell>
          <cell r="F989" t="str">
            <v>8811</v>
          </cell>
          <cell r="G989" t="str">
            <v>Habitational</v>
          </cell>
          <cell r="H989" t="str">
            <v>NA</v>
          </cell>
        </row>
        <row r="990">
          <cell r="A990" t="str">
            <v>8999</v>
          </cell>
          <cell r="B990" t="str">
            <v>Services</v>
          </cell>
          <cell r="C990">
            <v>5</v>
          </cell>
          <cell r="F990" t="str">
            <v>8999</v>
          </cell>
          <cell r="G990" t="str">
            <v>Services</v>
          </cell>
          <cell r="H990">
            <v>5</v>
          </cell>
        </row>
        <row r="991">
          <cell r="A991" t="str">
            <v>9111</v>
          </cell>
          <cell r="B991" t="str">
            <v>Services</v>
          </cell>
          <cell r="C991" t="str">
            <v>NA</v>
          </cell>
          <cell r="F991" t="str">
            <v>9111</v>
          </cell>
          <cell r="G991" t="str">
            <v>Services</v>
          </cell>
          <cell r="H991" t="str">
            <v>NA</v>
          </cell>
        </row>
        <row r="992">
          <cell r="A992" t="str">
            <v>9121</v>
          </cell>
          <cell r="B992" t="str">
            <v>Services</v>
          </cell>
          <cell r="C992" t="str">
            <v>NA</v>
          </cell>
          <cell r="F992" t="str">
            <v>9121</v>
          </cell>
          <cell r="G992" t="str">
            <v>Services</v>
          </cell>
          <cell r="H992" t="str">
            <v>NA</v>
          </cell>
        </row>
        <row r="993">
          <cell r="A993" t="str">
            <v>9131</v>
          </cell>
          <cell r="B993" t="str">
            <v>Services</v>
          </cell>
          <cell r="C993" t="str">
            <v>NA</v>
          </cell>
          <cell r="F993" t="str">
            <v>9131</v>
          </cell>
          <cell r="G993" t="str">
            <v>Services</v>
          </cell>
          <cell r="H993" t="str">
            <v>NA</v>
          </cell>
        </row>
        <row r="994">
          <cell r="A994" t="str">
            <v>9199</v>
          </cell>
          <cell r="B994" t="str">
            <v>Services</v>
          </cell>
          <cell r="C994" t="str">
            <v>NA</v>
          </cell>
          <cell r="F994" t="str">
            <v>9199</v>
          </cell>
          <cell r="G994" t="str">
            <v>Services</v>
          </cell>
          <cell r="H994" t="str">
            <v>NA</v>
          </cell>
        </row>
        <row r="995">
          <cell r="A995" t="str">
            <v>9211</v>
          </cell>
          <cell r="B995" t="str">
            <v>Services</v>
          </cell>
          <cell r="C995" t="str">
            <v>NA</v>
          </cell>
          <cell r="F995" t="str">
            <v>9211</v>
          </cell>
          <cell r="G995" t="str">
            <v>Services</v>
          </cell>
          <cell r="H995" t="str">
            <v>NA</v>
          </cell>
        </row>
        <row r="996">
          <cell r="A996" t="str">
            <v>9221</v>
          </cell>
          <cell r="B996" t="str">
            <v>Services</v>
          </cell>
          <cell r="C996" t="str">
            <v>NA</v>
          </cell>
          <cell r="F996" t="str">
            <v>9221</v>
          </cell>
          <cell r="G996" t="str">
            <v>Services</v>
          </cell>
          <cell r="H996" t="str">
            <v>NA</v>
          </cell>
        </row>
        <row r="997">
          <cell r="A997" t="str">
            <v>9222</v>
          </cell>
          <cell r="B997" t="str">
            <v>Services</v>
          </cell>
          <cell r="C997" t="str">
            <v>NA</v>
          </cell>
          <cell r="F997" t="str">
            <v>9222</v>
          </cell>
          <cell r="G997" t="str">
            <v>Services</v>
          </cell>
          <cell r="H997" t="str">
            <v>NA</v>
          </cell>
        </row>
        <row r="998">
          <cell r="A998" t="str">
            <v>9223</v>
          </cell>
          <cell r="B998" t="str">
            <v>Services</v>
          </cell>
          <cell r="C998" t="str">
            <v>NA</v>
          </cell>
          <cell r="F998" t="str">
            <v>9223</v>
          </cell>
          <cell r="G998" t="str">
            <v>Services</v>
          </cell>
          <cell r="H998" t="str">
            <v>NA</v>
          </cell>
        </row>
        <row r="999">
          <cell r="A999" t="str">
            <v>9224</v>
          </cell>
          <cell r="B999" t="str">
            <v>Services</v>
          </cell>
          <cell r="C999" t="str">
            <v>NA</v>
          </cell>
          <cell r="F999" t="str">
            <v>9224</v>
          </cell>
          <cell r="G999" t="str">
            <v>Services</v>
          </cell>
          <cell r="H999" t="str">
            <v>NA</v>
          </cell>
        </row>
        <row r="1000">
          <cell r="A1000" t="str">
            <v>9229</v>
          </cell>
          <cell r="B1000" t="str">
            <v>Services</v>
          </cell>
          <cell r="C1000" t="str">
            <v>NA</v>
          </cell>
          <cell r="F1000" t="str">
            <v>9229</v>
          </cell>
          <cell r="G1000" t="str">
            <v>Services</v>
          </cell>
          <cell r="H1000" t="str">
            <v>NA</v>
          </cell>
        </row>
        <row r="1001">
          <cell r="A1001" t="str">
            <v>9311</v>
          </cell>
          <cell r="B1001" t="str">
            <v>Services</v>
          </cell>
          <cell r="C1001" t="str">
            <v>NA</v>
          </cell>
          <cell r="F1001" t="str">
            <v>9311</v>
          </cell>
          <cell r="G1001" t="str">
            <v>Services</v>
          </cell>
          <cell r="H1001" t="str">
            <v>NA</v>
          </cell>
        </row>
        <row r="1002">
          <cell r="A1002" t="str">
            <v>9411</v>
          </cell>
          <cell r="B1002" t="str">
            <v>Services</v>
          </cell>
          <cell r="C1002" t="str">
            <v>NA</v>
          </cell>
          <cell r="F1002" t="str">
            <v>9411</v>
          </cell>
          <cell r="G1002" t="str">
            <v>Services</v>
          </cell>
          <cell r="H1002" t="str">
            <v>NA</v>
          </cell>
        </row>
        <row r="1003">
          <cell r="A1003" t="str">
            <v>9431</v>
          </cell>
          <cell r="B1003" t="str">
            <v>Services</v>
          </cell>
          <cell r="C1003" t="str">
            <v>NA</v>
          </cell>
          <cell r="F1003" t="str">
            <v>9431</v>
          </cell>
          <cell r="G1003" t="str">
            <v>Services</v>
          </cell>
          <cell r="H1003" t="str">
            <v>NA</v>
          </cell>
        </row>
        <row r="1004">
          <cell r="A1004" t="str">
            <v>9441</v>
          </cell>
          <cell r="B1004" t="str">
            <v>Services</v>
          </cell>
          <cell r="C1004" t="str">
            <v>NA</v>
          </cell>
          <cell r="F1004" t="str">
            <v>9441</v>
          </cell>
          <cell r="G1004" t="str">
            <v>Services</v>
          </cell>
          <cell r="H1004" t="str">
            <v>NA</v>
          </cell>
        </row>
        <row r="1005">
          <cell r="A1005" t="str">
            <v>9451</v>
          </cell>
          <cell r="B1005" t="str">
            <v>Services</v>
          </cell>
          <cell r="C1005" t="str">
            <v>NA</v>
          </cell>
          <cell r="F1005" t="str">
            <v>9451</v>
          </cell>
          <cell r="G1005" t="str">
            <v>Services</v>
          </cell>
          <cell r="H1005" t="str">
            <v>NA</v>
          </cell>
        </row>
        <row r="1006">
          <cell r="A1006" t="str">
            <v>9511</v>
          </cell>
          <cell r="B1006" t="str">
            <v>Services</v>
          </cell>
          <cell r="C1006" t="str">
            <v>NA</v>
          </cell>
          <cell r="F1006" t="str">
            <v>9511</v>
          </cell>
          <cell r="G1006" t="str">
            <v>Services</v>
          </cell>
          <cell r="H1006" t="str">
            <v>NA</v>
          </cell>
        </row>
        <row r="1007">
          <cell r="A1007" t="str">
            <v>9512</v>
          </cell>
          <cell r="B1007" t="str">
            <v>Services</v>
          </cell>
          <cell r="C1007" t="str">
            <v>NA</v>
          </cell>
          <cell r="F1007" t="str">
            <v>9512</v>
          </cell>
          <cell r="G1007" t="str">
            <v>Services</v>
          </cell>
          <cell r="H1007" t="str">
            <v>NA</v>
          </cell>
        </row>
        <row r="1008">
          <cell r="A1008" t="str">
            <v>9531</v>
          </cell>
          <cell r="B1008" t="str">
            <v>Services</v>
          </cell>
          <cell r="C1008" t="str">
            <v>NA</v>
          </cell>
          <cell r="F1008" t="str">
            <v>9531</v>
          </cell>
          <cell r="G1008" t="str">
            <v>Services</v>
          </cell>
          <cell r="H1008" t="str">
            <v>NA</v>
          </cell>
        </row>
        <row r="1009">
          <cell r="A1009" t="str">
            <v>9532</v>
          </cell>
          <cell r="B1009" t="str">
            <v>Services</v>
          </cell>
          <cell r="C1009" t="str">
            <v>NA</v>
          </cell>
          <cell r="F1009" t="str">
            <v>9532</v>
          </cell>
          <cell r="G1009" t="str">
            <v>Services</v>
          </cell>
          <cell r="H1009" t="str">
            <v>NA</v>
          </cell>
        </row>
        <row r="1010">
          <cell r="A1010" t="str">
            <v>9611</v>
          </cell>
          <cell r="B1010" t="str">
            <v>Services</v>
          </cell>
          <cell r="C1010" t="str">
            <v>NA</v>
          </cell>
          <cell r="F1010" t="str">
            <v>9611</v>
          </cell>
          <cell r="G1010" t="str">
            <v>Services</v>
          </cell>
          <cell r="H1010" t="str">
            <v>NA</v>
          </cell>
        </row>
        <row r="1011">
          <cell r="A1011" t="str">
            <v>9621</v>
          </cell>
          <cell r="B1011" t="str">
            <v>Services</v>
          </cell>
          <cell r="C1011" t="str">
            <v>NA</v>
          </cell>
          <cell r="F1011" t="str">
            <v>9621</v>
          </cell>
          <cell r="G1011" t="str">
            <v>Services</v>
          </cell>
          <cell r="H1011" t="str">
            <v>NA</v>
          </cell>
        </row>
        <row r="1012">
          <cell r="A1012" t="str">
            <v>9631</v>
          </cell>
          <cell r="B1012" t="str">
            <v>Services</v>
          </cell>
          <cell r="C1012" t="str">
            <v>NA</v>
          </cell>
          <cell r="F1012" t="str">
            <v>9631</v>
          </cell>
          <cell r="G1012" t="str">
            <v>Services</v>
          </cell>
          <cell r="H1012" t="str">
            <v>NA</v>
          </cell>
        </row>
        <row r="1013">
          <cell r="A1013" t="str">
            <v>9641</v>
          </cell>
          <cell r="B1013" t="str">
            <v>Services</v>
          </cell>
          <cell r="C1013" t="str">
            <v>NA</v>
          </cell>
          <cell r="F1013" t="str">
            <v>9641</v>
          </cell>
          <cell r="G1013" t="str">
            <v>Services</v>
          </cell>
          <cell r="H1013" t="str">
            <v>NA</v>
          </cell>
        </row>
        <row r="1014">
          <cell r="A1014" t="str">
            <v>9651</v>
          </cell>
          <cell r="B1014" t="str">
            <v>Services</v>
          </cell>
          <cell r="C1014" t="str">
            <v>NA</v>
          </cell>
          <cell r="F1014" t="str">
            <v>9651</v>
          </cell>
          <cell r="G1014" t="str">
            <v>Services</v>
          </cell>
          <cell r="H1014" t="str">
            <v>NA</v>
          </cell>
        </row>
        <row r="1015">
          <cell r="A1015" t="str">
            <v>9661</v>
          </cell>
          <cell r="B1015" t="str">
            <v>Services</v>
          </cell>
          <cell r="C1015" t="str">
            <v>NA</v>
          </cell>
          <cell r="F1015" t="str">
            <v>9661</v>
          </cell>
          <cell r="G1015" t="str">
            <v>Services</v>
          </cell>
          <cell r="H1015" t="str">
            <v>NA</v>
          </cell>
        </row>
        <row r="1016">
          <cell r="A1016" t="str">
            <v>9711</v>
          </cell>
          <cell r="B1016" t="str">
            <v>Services</v>
          </cell>
          <cell r="C1016" t="str">
            <v>NA</v>
          </cell>
          <cell r="F1016" t="str">
            <v>9711</v>
          </cell>
          <cell r="G1016" t="str">
            <v>Services</v>
          </cell>
          <cell r="H1016" t="str">
            <v>NA</v>
          </cell>
        </row>
        <row r="1017">
          <cell r="A1017" t="str">
            <v>9721</v>
          </cell>
          <cell r="B1017" t="str">
            <v>Services</v>
          </cell>
          <cell r="C1017" t="str">
            <v>NA</v>
          </cell>
          <cell r="F1017" t="str">
            <v>9721</v>
          </cell>
          <cell r="G1017" t="str">
            <v>Services</v>
          </cell>
          <cell r="H1017" t="str">
            <v>NA</v>
          </cell>
        </row>
        <row r="1018">
          <cell r="A1018" t="str">
            <v>9801</v>
          </cell>
          <cell r="B1018" t="str">
            <v>Services</v>
          </cell>
          <cell r="C1018" t="str">
            <v>NA</v>
          </cell>
          <cell r="F1018" t="str">
            <v>9801</v>
          </cell>
          <cell r="G1018" t="str">
            <v>Services</v>
          </cell>
          <cell r="H1018" t="str">
            <v>NA</v>
          </cell>
        </row>
        <row r="1019">
          <cell r="A1019" t="str">
            <v>9812</v>
          </cell>
          <cell r="B1019" t="str">
            <v>Services</v>
          </cell>
          <cell r="C1019" t="str">
            <v>NA</v>
          </cell>
          <cell r="F1019" t="str">
            <v>9812</v>
          </cell>
          <cell r="G1019" t="str">
            <v>Services</v>
          </cell>
          <cell r="H1019" t="str">
            <v>NA</v>
          </cell>
        </row>
        <row r="1020">
          <cell r="A1020" t="str">
            <v>9813</v>
          </cell>
          <cell r="B1020" t="str">
            <v>Services</v>
          </cell>
          <cell r="C1020" t="str">
            <v>NA</v>
          </cell>
          <cell r="F1020" t="str">
            <v>9813</v>
          </cell>
          <cell r="G1020" t="str">
            <v>Services</v>
          </cell>
          <cell r="H1020" t="str">
            <v>NA</v>
          </cell>
        </row>
        <row r="1021">
          <cell r="A1021" t="str">
            <v>9814</v>
          </cell>
          <cell r="B1021" t="str">
            <v>Services</v>
          </cell>
          <cell r="C1021" t="str">
            <v>NA</v>
          </cell>
          <cell r="F1021" t="str">
            <v>9814</v>
          </cell>
          <cell r="G1021" t="str">
            <v>Services</v>
          </cell>
          <cell r="H1021" t="str">
            <v>NA</v>
          </cell>
        </row>
        <row r="1022">
          <cell r="A1022" t="str">
            <v>99</v>
          </cell>
          <cell r="B1022" t="str">
            <v>Services</v>
          </cell>
          <cell r="C1022" t="str">
            <v>NA</v>
          </cell>
          <cell r="F1022" t="str">
            <v>99</v>
          </cell>
          <cell r="G1022" t="str">
            <v>Services</v>
          </cell>
          <cell r="H1022" t="str">
            <v>NA</v>
          </cell>
        </row>
      </sheetData>
      <sheetData sheetId="14">
        <row r="7">
          <cell r="L7" t="str">
            <v>31 to 70</v>
          </cell>
          <cell r="M7">
            <v>1.1000000000000001</v>
          </cell>
        </row>
        <row r="8">
          <cell r="G8">
            <v>300</v>
          </cell>
          <cell r="I8">
            <v>95</v>
          </cell>
          <cell r="L8" t="str">
            <v>71 to 90</v>
          </cell>
          <cell r="M8">
            <v>0.95</v>
          </cell>
        </row>
        <row r="9">
          <cell r="G9">
            <v>500</v>
          </cell>
          <cell r="I9">
            <v>200</v>
          </cell>
          <cell r="L9" t="str">
            <v>91 to 100</v>
          </cell>
          <cell r="M9">
            <v>0.85</v>
          </cell>
        </row>
        <row r="10">
          <cell r="G10">
            <v>1000</v>
          </cell>
          <cell r="I10">
            <v>300</v>
          </cell>
          <cell r="L10" t="str">
            <v>Below 30</v>
          </cell>
          <cell r="M10">
            <v>1.2</v>
          </cell>
        </row>
        <row r="11">
          <cell r="G11">
            <v>2000</v>
          </cell>
          <cell r="I11">
            <v>400</v>
          </cell>
          <cell r="L11" t="str">
            <v>New Venture or N/A</v>
          </cell>
          <cell r="M11">
            <v>1</v>
          </cell>
        </row>
        <row r="13">
          <cell r="B13" t="str">
            <v>Zone 1</v>
          </cell>
          <cell r="C13" t="e">
            <v>#N/A</v>
          </cell>
        </row>
        <row r="14">
          <cell r="B14" t="str">
            <v>Zone 2</v>
          </cell>
          <cell r="C14" t="e">
            <v>#N/A</v>
          </cell>
        </row>
        <row r="15">
          <cell r="B15" t="str">
            <v>Zone 3</v>
          </cell>
          <cell r="C15">
            <v>0.4</v>
          </cell>
        </row>
        <row r="16">
          <cell r="B16" t="str">
            <v>Zone 4</v>
          </cell>
          <cell r="C16">
            <v>0.2</v>
          </cell>
          <cell r="L16" t="str">
            <v>Exclude</v>
          </cell>
          <cell r="M16">
            <v>0.7</v>
          </cell>
        </row>
        <row r="17">
          <cell r="B17" t="str">
            <v>Zone 5</v>
          </cell>
          <cell r="C17">
            <v>0.1</v>
          </cell>
          <cell r="L17" t="str">
            <v>No Exclusion</v>
          </cell>
          <cell r="M17">
            <v>1</v>
          </cell>
        </row>
        <row r="33">
          <cell r="G33">
            <v>300</v>
          </cell>
          <cell r="I33">
            <v>62</v>
          </cell>
        </row>
        <row r="34">
          <cell r="G34">
            <v>500</v>
          </cell>
          <cell r="I34">
            <v>83</v>
          </cell>
        </row>
        <row r="35">
          <cell r="G35">
            <v>1000</v>
          </cell>
          <cell r="I35">
            <v>138</v>
          </cell>
        </row>
        <row r="36">
          <cell r="G36">
            <v>2000</v>
          </cell>
          <cell r="I36">
            <v>192</v>
          </cell>
        </row>
        <row r="56">
          <cell r="L56">
            <v>0</v>
          </cell>
          <cell r="M56">
            <v>1</v>
          </cell>
        </row>
        <row r="57">
          <cell r="L57">
            <v>250000</v>
          </cell>
          <cell r="M57">
            <v>0.97499999999999998</v>
          </cell>
        </row>
        <row r="58">
          <cell r="L58">
            <v>500000</v>
          </cell>
          <cell r="M58">
            <v>0.95</v>
          </cell>
        </row>
        <row r="59">
          <cell r="L59">
            <v>750000</v>
          </cell>
          <cell r="M59">
            <v>0.92500000000000004</v>
          </cell>
        </row>
        <row r="60">
          <cell r="L60">
            <v>1000000</v>
          </cell>
          <cell r="M60">
            <v>0.9</v>
          </cell>
        </row>
        <row r="61">
          <cell r="L61">
            <v>2000000</v>
          </cell>
          <cell r="M61">
            <v>0.8</v>
          </cell>
        </row>
        <row r="62">
          <cell r="L62">
            <v>3000000</v>
          </cell>
          <cell r="M62">
            <v>0.72499999999999998</v>
          </cell>
        </row>
        <row r="63">
          <cell r="L63">
            <v>4000000</v>
          </cell>
          <cell r="M63">
            <v>0.67500000000000004</v>
          </cell>
        </row>
        <row r="64">
          <cell r="L64">
            <v>5000000</v>
          </cell>
          <cell r="M64">
            <v>0.65</v>
          </cell>
        </row>
        <row r="70">
          <cell r="L70">
            <v>0</v>
          </cell>
          <cell r="M70">
            <v>1</v>
          </cell>
        </row>
        <row r="71">
          <cell r="B71">
            <v>100000</v>
          </cell>
          <cell r="D71">
            <v>0.05</v>
          </cell>
          <cell r="L71">
            <v>250000</v>
          </cell>
          <cell r="M71">
            <v>0.97499999999999998</v>
          </cell>
        </row>
        <row r="72">
          <cell r="B72">
            <v>200000</v>
          </cell>
          <cell r="D72">
            <v>0.04</v>
          </cell>
          <cell r="L72">
            <v>500000</v>
          </cell>
          <cell r="M72">
            <v>0.95</v>
          </cell>
        </row>
        <row r="73">
          <cell r="B73">
            <v>300000</v>
          </cell>
          <cell r="D73">
            <v>0.03</v>
          </cell>
          <cell r="L73">
            <v>750000</v>
          </cell>
          <cell r="M73">
            <v>0.92500000000000004</v>
          </cell>
        </row>
        <row r="74">
          <cell r="B74">
            <v>400000</v>
          </cell>
          <cell r="D74">
            <v>1.9999999999999997E-2</v>
          </cell>
          <cell r="L74">
            <v>1000000</v>
          </cell>
          <cell r="M74">
            <v>0.9</v>
          </cell>
        </row>
        <row r="75">
          <cell r="B75">
            <v>500000</v>
          </cell>
          <cell r="D75">
            <v>9.9999999999999967E-3</v>
          </cell>
          <cell r="L75">
            <v>2000000</v>
          </cell>
          <cell r="M75">
            <v>0.8</v>
          </cell>
        </row>
        <row r="76">
          <cell r="L76">
            <v>3000000</v>
          </cell>
          <cell r="M76">
            <v>0.72499999999999998</v>
          </cell>
        </row>
        <row r="77">
          <cell r="L77">
            <v>4000000</v>
          </cell>
          <cell r="M77">
            <v>0.67500000000000004</v>
          </cell>
        </row>
        <row r="78">
          <cell r="L78">
            <v>5000000</v>
          </cell>
          <cell r="M78">
            <v>0.65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7005-9B83-41EA-B15B-E007F10BA949}">
  <dimension ref="A1:B9"/>
  <sheetViews>
    <sheetView tabSelected="1" workbookViewId="0">
      <selection activeCell="B13" sqref="B13"/>
    </sheetView>
  </sheetViews>
  <sheetFormatPr defaultRowHeight="14.4" x14ac:dyDescent="0.3"/>
  <cols>
    <col min="1" max="1" width="15" bestFit="1" customWidth="1"/>
    <col min="2" max="2" width="58.44140625" bestFit="1" customWidth="1"/>
  </cols>
  <sheetData>
    <row r="1" spans="1:2" x14ac:dyDescent="0.3">
      <c r="A1" s="26" t="s">
        <v>66</v>
      </c>
      <c r="B1" s="26" t="s">
        <v>77</v>
      </c>
    </row>
    <row r="2" spans="1:2" x14ac:dyDescent="0.3">
      <c r="A2" s="26" t="s">
        <v>67</v>
      </c>
      <c r="B2" s="26" t="s">
        <v>78</v>
      </c>
    </row>
    <row r="3" spans="1:2" x14ac:dyDescent="0.3">
      <c r="A3" s="26" t="s">
        <v>68</v>
      </c>
      <c r="B3" s="26" t="s">
        <v>69</v>
      </c>
    </row>
    <row r="4" spans="1:2" x14ac:dyDescent="0.3">
      <c r="A4" s="26" t="s">
        <v>70</v>
      </c>
      <c r="B4" s="26" t="s">
        <v>71</v>
      </c>
    </row>
    <row r="5" spans="1:2" x14ac:dyDescent="0.3">
      <c r="A5" s="26" t="s">
        <v>72</v>
      </c>
      <c r="B5" s="26" t="s">
        <v>154</v>
      </c>
    </row>
    <row r="6" spans="1:2" x14ac:dyDescent="0.3">
      <c r="A6" s="26" t="s">
        <v>73</v>
      </c>
      <c r="B6" s="26" t="s">
        <v>155</v>
      </c>
    </row>
    <row r="7" spans="1:2" x14ac:dyDescent="0.3">
      <c r="A7" s="26" t="s">
        <v>74</v>
      </c>
      <c r="B7" s="26" t="s">
        <v>79</v>
      </c>
    </row>
    <row r="8" spans="1:2" x14ac:dyDescent="0.3">
      <c r="A8" s="26" t="s">
        <v>75</v>
      </c>
      <c r="B8" s="26" t="s">
        <v>80</v>
      </c>
    </row>
    <row r="9" spans="1:2" x14ac:dyDescent="0.3">
      <c r="A9" s="26" t="s">
        <v>76</v>
      </c>
      <c r="B9" s="26" t="s">
        <v>81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B0946-1C9E-4AC6-85C9-EF565FF82B7C}">
  <dimension ref="A1:R146"/>
  <sheetViews>
    <sheetView topLeftCell="A54" workbookViewId="0">
      <selection activeCell="B61" sqref="B61"/>
    </sheetView>
  </sheetViews>
  <sheetFormatPr defaultRowHeight="13.2" x14ac:dyDescent="0.25"/>
  <cols>
    <col min="1" max="1" width="45" style="29" customWidth="1"/>
    <col min="2" max="2" width="19.33203125" style="29" customWidth="1"/>
    <col min="3" max="3" width="19.44140625" style="29" customWidth="1"/>
    <col min="4" max="4" width="20.33203125" style="29" customWidth="1"/>
    <col min="5" max="5" width="18.6640625" style="29" customWidth="1"/>
    <col min="6" max="6" width="4" style="29" customWidth="1"/>
    <col min="7" max="7" width="12.5546875" style="29" customWidth="1"/>
    <col min="8" max="8" width="38" style="29" bestFit="1" customWidth="1"/>
    <col min="9" max="9" width="10.6640625" style="29" customWidth="1"/>
    <col min="10" max="10" width="10.5546875" style="29" customWidth="1"/>
    <col min="11" max="11" width="20" style="29" customWidth="1"/>
    <col min="12" max="12" width="23.109375" style="29" customWidth="1"/>
    <col min="13" max="13" width="18.109375" style="29" customWidth="1"/>
    <col min="14" max="14" width="32.44140625" style="29" customWidth="1"/>
    <col min="15" max="16" width="18.109375" style="29" customWidth="1"/>
    <col min="17" max="17" width="19.88671875" style="29" customWidth="1"/>
    <col min="18" max="18" width="19.6640625" style="29" customWidth="1"/>
    <col min="19" max="25" width="18.109375" style="29" customWidth="1"/>
    <col min="26" max="254" width="8.88671875" style="29"/>
    <col min="255" max="255" width="45" style="29" customWidth="1"/>
    <col min="256" max="256" width="19.33203125" style="29" customWidth="1"/>
    <col min="257" max="257" width="19.44140625" style="29" customWidth="1"/>
    <col min="258" max="258" width="20.33203125" style="29" customWidth="1"/>
    <col min="259" max="259" width="18.6640625" style="29" customWidth="1"/>
    <col min="260" max="260" width="4" style="29" customWidth="1"/>
    <col min="261" max="261" width="12.5546875" style="29" customWidth="1"/>
    <col min="262" max="262" width="12.88671875" style="29" customWidth="1"/>
    <col min="263" max="264" width="11" style="29" customWidth="1"/>
    <col min="265" max="265" width="10.6640625" style="29" customWidth="1"/>
    <col min="266" max="266" width="10.5546875" style="29" customWidth="1"/>
    <col min="267" max="267" width="20" style="29" customWidth="1"/>
    <col min="268" max="268" width="23.109375" style="29" customWidth="1"/>
    <col min="269" max="269" width="18.109375" style="29" customWidth="1"/>
    <col min="270" max="270" width="32.44140625" style="29" customWidth="1"/>
    <col min="271" max="272" width="18.109375" style="29" customWidth="1"/>
    <col min="273" max="273" width="19.88671875" style="29" customWidth="1"/>
    <col min="274" max="274" width="19.6640625" style="29" customWidth="1"/>
    <col min="275" max="281" width="18.109375" style="29" customWidth="1"/>
    <col min="282" max="510" width="8.88671875" style="29"/>
    <col min="511" max="511" width="45" style="29" customWidth="1"/>
    <col min="512" max="512" width="19.33203125" style="29" customWidth="1"/>
    <col min="513" max="513" width="19.44140625" style="29" customWidth="1"/>
    <col min="514" max="514" width="20.33203125" style="29" customWidth="1"/>
    <col min="515" max="515" width="18.6640625" style="29" customWidth="1"/>
    <col min="516" max="516" width="4" style="29" customWidth="1"/>
    <col min="517" max="517" width="12.5546875" style="29" customWidth="1"/>
    <col min="518" max="518" width="12.88671875" style="29" customWidth="1"/>
    <col min="519" max="520" width="11" style="29" customWidth="1"/>
    <col min="521" max="521" width="10.6640625" style="29" customWidth="1"/>
    <col min="522" max="522" width="10.5546875" style="29" customWidth="1"/>
    <col min="523" max="523" width="20" style="29" customWidth="1"/>
    <col min="524" max="524" width="23.109375" style="29" customWidth="1"/>
    <col min="525" max="525" width="18.109375" style="29" customWidth="1"/>
    <col min="526" max="526" width="32.44140625" style="29" customWidth="1"/>
    <col min="527" max="528" width="18.109375" style="29" customWidth="1"/>
    <col min="529" max="529" width="19.88671875" style="29" customWidth="1"/>
    <col min="530" max="530" width="19.6640625" style="29" customWidth="1"/>
    <col min="531" max="537" width="18.109375" style="29" customWidth="1"/>
    <col min="538" max="766" width="8.88671875" style="29"/>
    <col min="767" max="767" width="45" style="29" customWidth="1"/>
    <col min="768" max="768" width="19.33203125" style="29" customWidth="1"/>
    <col min="769" max="769" width="19.44140625" style="29" customWidth="1"/>
    <col min="770" max="770" width="20.33203125" style="29" customWidth="1"/>
    <col min="771" max="771" width="18.6640625" style="29" customWidth="1"/>
    <col min="772" max="772" width="4" style="29" customWidth="1"/>
    <col min="773" max="773" width="12.5546875" style="29" customWidth="1"/>
    <col min="774" max="774" width="12.88671875" style="29" customWidth="1"/>
    <col min="775" max="776" width="11" style="29" customWidth="1"/>
    <col min="777" max="777" width="10.6640625" style="29" customWidth="1"/>
    <col min="778" max="778" width="10.5546875" style="29" customWidth="1"/>
    <col min="779" max="779" width="20" style="29" customWidth="1"/>
    <col min="780" max="780" width="23.109375" style="29" customWidth="1"/>
    <col min="781" max="781" width="18.109375" style="29" customWidth="1"/>
    <col min="782" max="782" width="32.44140625" style="29" customWidth="1"/>
    <col min="783" max="784" width="18.109375" style="29" customWidth="1"/>
    <col min="785" max="785" width="19.88671875" style="29" customWidth="1"/>
    <col min="786" max="786" width="19.6640625" style="29" customWidth="1"/>
    <col min="787" max="793" width="18.109375" style="29" customWidth="1"/>
    <col min="794" max="1022" width="8.88671875" style="29"/>
    <col min="1023" max="1023" width="45" style="29" customWidth="1"/>
    <col min="1024" max="1024" width="19.33203125" style="29" customWidth="1"/>
    <col min="1025" max="1025" width="19.44140625" style="29" customWidth="1"/>
    <col min="1026" max="1026" width="20.33203125" style="29" customWidth="1"/>
    <col min="1027" max="1027" width="18.6640625" style="29" customWidth="1"/>
    <col min="1028" max="1028" width="4" style="29" customWidth="1"/>
    <col min="1029" max="1029" width="12.5546875" style="29" customWidth="1"/>
    <col min="1030" max="1030" width="12.88671875" style="29" customWidth="1"/>
    <col min="1031" max="1032" width="11" style="29" customWidth="1"/>
    <col min="1033" max="1033" width="10.6640625" style="29" customWidth="1"/>
    <col min="1034" max="1034" width="10.5546875" style="29" customWidth="1"/>
    <col min="1035" max="1035" width="20" style="29" customWidth="1"/>
    <col min="1036" max="1036" width="23.109375" style="29" customWidth="1"/>
    <col min="1037" max="1037" width="18.109375" style="29" customWidth="1"/>
    <col min="1038" max="1038" width="32.44140625" style="29" customWidth="1"/>
    <col min="1039" max="1040" width="18.109375" style="29" customWidth="1"/>
    <col min="1041" max="1041" width="19.88671875" style="29" customWidth="1"/>
    <col min="1042" max="1042" width="19.6640625" style="29" customWidth="1"/>
    <col min="1043" max="1049" width="18.109375" style="29" customWidth="1"/>
    <col min="1050" max="1278" width="8.88671875" style="29"/>
    <col min="1279" max="1279" width="45" style="29" customWidth="1"/>
    <col min="1280" max="1280" width="19.33203125" style="29" customWidth="1"/>
    <col min="1281" max="1281" width="19.44140625" style="29" customWidth="1"/>
    <col min="1282" max="1282" width="20.33203125" style="29" customWidth="1"/>
    <col min="1283" max="1283" width="18.6640625" style="29" customWidth="1"/>
    <col min="1284" max="1284" width="4" style="29" customWidth="1"/>
    <col min="1285" max="1285" width="12.5546875" style="29" customWidth="1"/>
    <col min="1286" max="1286" width="12.88671875" style="29" customWidth="1"/>
    <col min="1287" max="1288" width="11" style="29" customWidth="1"/>
    <col min="1289" max="1289" width="10.6640625" style="29" customWidth="1"/>
    <col min="1290" max="1290" width="10.5546875" style="29" customWidth="1"/>
    <col min="1291" max="1291" width="20" style="29" customWidth="1"/>
    <col min="1292" max="1292" width="23.109375" style="29" customWidth="1"/>
    <col min="1293" max="1293" width="18.109375" style="29" customWidth="1"/>
    <col min="1294" max="1294" width="32.44140625" style="29" customWidth="1"/>
    <col min="1295" max="1296" width="18.109375" style="29" customWidth="1"/>
    <col min="1297" max="1297" width="19.88671875" style="29" customWidth="1"/>
    <col min="1298" max="1298" width="19.6640625" style="29" customWidth="1"/>
    <col min="1299" max="1305" width="18.109375" style="29" customWidth="1"/>
    <col min="1306" max="1534" width="8.88671875" style="29"/>
    <col min="1535" max="1535" width="45" style="29" customWidth="1"/>
    <col min="1536" max="1536" width="19.33203125" style="29" customWidth="1"/>
    <col min="1537" max="1537" width="19.44140625" style="29" customWidth="1"/>
    <col min="1538" max="1538" width="20.33203125" style="29" customWidth="1"/>
    <col min="1539" max="1539" width="18.6640625" style="29" customWidth="1"/>
    <col min="1540" max="1540" width="4" style="29" customWidth="1"/>
    <col min="1541" max="1541" width="12.5546875" style="29" customWidth="1"/>
    <col min="1542" max="1542" width="12.88671875" style="29" customWidth="1"/>
    <col min="1543" max="1544" width="11" style="29" customWidth="1"/>
    <col min="1545" max="1545" width="10.6640625" style="29" customWidth="1"/>
    <col min="1546" max="1546" width="10.5546875" style="29" customWidth="1"/>
    <col min="1547" max="1547" width="20" style="29" customWidth="1"/>
    <col min="1548" max="1548" width="23.109375" style="29" customWidth="1"/>
    <col min="1549" max="1549" width="18.109375" style="29" customWidth="1"/>
    <col min="1550" max="1550" width="32.44140625" style="29" customWidth="1"/>
    <col min="1551" max="1552" width="18.109375" style="29" customWidth="1"/>
    <col min="1553" max="1553" width="19.88671875" style="29" customWidth="1"/>
    <col min="1554" max="1554" width="19.6640625" style="29" customWidth="1"/>
    <col min="1555" max="1561" width="18.109375" style="29" customWidth="1"/>
    <col min="1562" max="1790" width="8.88671875" style="29"/>
    <col min="1791" max="1791" width="45" style="29" customWidth="1"/>
    <col min="1792" max="1792" width="19.33203125" style="29" customWidth="1"/>
    <col min="1793" max="1793" width="19.44140625" style="29" customWidth="1"/>
    <col min="1794" max="1794" width="20.33203125" style="29" customWidth="1"/>
    <col min="1795" max="1795" width="18.6640625" style="29" customWidth="1"/>
    <col min="1796" max="1796" width="4" style="29" customWidth="1"/>
    <col min="1797" max="1797" width="12.5546875" style="29" customWidth="1"/>
    <col min="1798" max="1798" width="12.88671875" style="29" customWidth="1"/>
    <col min="1799" max="1800" width="11" style="29" customWidth="1"/>
    <col min="1801" max="1801" width="10.6640625" style="29" customWidth="1"/>
    <col min="1802" max="1802" width="10.5546875" style="29" customWidth="1"/>
    <col min="1803" max="1803" width="20" style="29" customWidth="1"/>
    <col min="1804" max="1804" width="23.109375" style="29" customWidth="1"/>
    <col min="1805" max="1805" width="18.109375" style="29" customWidth="1"/>
    <col min="1806" max="1806" width="32.44140625" style="29" customWidth="1"/>
    <col min="1807" max="1808" width="18.109375" style="29" customWidth="1"/>
    <col min="1809" max="1809" width="19.88671875" style="29" customWidth="1"/>
    <col min="1810" max="1810" width="19.6640625" style="29" customWidth="1"/>
    <col min="1811" max="1817" width="18.109375" style="29" customWidth="1"/>
    <col min="1818" max="2046" width="8.88671875" style="29"/>
    <col min="2047" max="2047" width="45" style="29" customWidth="1"/>
    <col min="2048" max="2048" width="19.33203125" style="29" customWidth="1"/>
    <col min="2049" max="2049" width="19.44140625" style="29" customWidth="1"/>
    <col min="2050" max="2050" width="20.33203125" style="29" customWidth="1"/>
    <col min="2051" max="2051" width="18.6640625" style="29" customWidth="1"/>
    <col min="2052" max="2052" width="4" style="29" customWidth="1"/>
    <col min="2053" max="2053" width="12.5546875" style="29" customWidth="1"/>
    <col min="2054" max="2054" width="12.88671875" style="29" customWidth="1"/>
    <col min="2055" max="2056" width="11" style="29" customWidth="1"/>
    <col min="2057" max="2057" width="10.6640625" style="29" customWidth="1"/>
    <col min="2058" max="2058" width="10.5546875" style="29" customWidth="1"/>
    <col min="2059" max="2059" width="20" style="29" customWidth="1"/>
    <col min="2060" max="2060" width="23.109375" style="29" customWidth="1"/>
    <col min="2061" max="2061" width="18.109375" style="29" customWidth="1"/>
    <col min="2062" max="2062" width="32.44140625" style="29" customWidth="1"/>
    <col min="2063" max="2064" width="18.109375" style="29" customWidth="1"/>
    <col min="2065" max="2065" width="19.88671875" style="29" customWidth="1"/>
    <col min="2066" max="2066" width="19.6640625" style="29" customWidth="1"/>
    <col min="2067" max="2073" width="18.109375" style="29" customWidth="1"/>
    <col min="2074" max="2302" width="8.88671875" style="29"/>
    <col min="2303" max="2303" width="45" style="29" customWidth="1"/>
    <col min="2304" max="2304" width="19.33203125" style="29" customWidth="1"/>
    <col min="2305" max="2305" width="19.44140625" style="29" customWidth="1"/>
    <col min="2306" max="2306" width="20.33203125" style="29" customWidth="1"/>
    <col min="2307" max="2307" width="18.6640625" style="29" customWidth="1"/>
    <col min="2308" max="2308" width="4" style="29" customWidth="1"/>
    <col min="2309" max="2309" width="12.5546875" style="29" customWidth="1"/>
    <col min="2310" max="2310" width="12.88671875" style="29" customWidth="1"/>
    <col min="2311" max="2312" width="11" style="29" customWidth="1"/>
    <col min="2313" max="2313" width="10.6640625" style="29" customWidth="1"/>
    <col min="2314" max="2314" width="10.5546875" style="29" customWidth="1"/>
    <col min="2315" max="2315" width="20" style="29" customWidth="1"/>
    <col min="2316" max="2316" width="23.109375" style="29" customWidth="1"/>
    <col min="2317" max="2317" width="18.109375" style="29" customWidth="1"/>
    <col min="2318" max="2318" width="32.44140625" style="29" customWidth="1"/>
    <col min="2319" max="2320" width="18.109375" style="29" customWidth="1"/>
    <col min="2321" max="2321" width="19.88671875" style="29" customWidth="1"/>
    <col min="2322" max="2322" width="19.6640625" style="29" customWidth="1"/>
    <col min="2323" max="2329" width="18.109375" style="29" customWidth="1"/>
    <col min="2330" max="2558" width="8.88671875" style="29"/>
    <col min="2559" max="2559" width="45" style="29" customWidth="1"/>
    <col min="2560" max="2560" width="19.33203125" style="29" customWidth="1"/>
    <col min="2561" max="2561" width="19.44140625" style="29" customWidth="1"/>
    <col min="2562" max="2562" width="20.33203125" style="29" customWidth="1"/>
    <col min="2563" max="2563" width="18.6640625" style="29" customWidth="1"/>
    <col min="2564" max="2564" width="4" style="29" customWidth="1"/>
    <col min="2565" max="2565" width="12.5546875" style="29" customWidth="1"/>
    <col min="2566" max="2566" width="12.88671875" style="29" customWidth="1"/>
    <col min="2567" max="2568" width="11" style="29" customWidth="1"/>
    <col min="2569" max="2569" width="10.6640625" style="29" customWidth="1"/>
    <col min="2570" max="2570" width="10.5546875" style="29" customWidth="1"/>
    <col min="2571" max="2571" width="20" style="29" customWidth="1"/>
    <col min="2572" max="2572" width="23.109375" style="29" customWidth="1"/>
    <col min="2573" max="2573" width="18.109375" style="29" customWidth="1"/>
    <col min="2574" max="2574" width="32.44140625" style="29" customWidth="1"/>
    <col min="2575" max="2576" width="18.109375" style="29" customWidth="1"/>
    <col min="2577" max="2577" width="19.88671875" style="29" customWidth="1"/>
    <col min="2578" max="2578" width="19.6640625" style="29" customWidth="1"/>
    <col min="2579" max="2585" width="18.109375" style="29" customWidth="1"/>
    <col min="2586" max="2814" width="8.88671875" style="29"/>
    <col min="2815" max="2815" width="45" style="29" customWidth="1"/>
    <col min="2816" max="2816" width="19.33203125" style="29" customWidth="1"/>
    <col min="2817" max="2817" width="19.44140625" style="29" customWidth="1"/>
    <col min="2818" max="2818" width="20.33203125" style="29" customWidth="1"/>
    <col min="2819" max="2819" width="18.6640625" style="29" customWidth="1"/>
    <col min="2820" max="2820" width="4" style="29" customWidth="1"/>
    <col min="2821" max="2821" width="12.5546875" style="29" customWidth="1"/>
    <col min="2822" max="2822" width="12.88671875" style="29" customWidth="1"/>
    <col min="2823" max="2824" width="11" style="29" customWidth="1"/>
    <col min="2825" max="2825" width="10.6640625" style="29" customWidth="1"/>
    <col min="2826" max="2826" width="10.5546875" style="29" customWidth="1"/>
    <col min="2827" max="2827" width="20" style="29" customWidth="1"/>
    <col min="2828" max="2828" width="23.109375" style="29" customWidth="1"/>
    <col min="2829" max="2829" width="18.109375" style="29" customWidth="1"/>
    <col min="2830" max="2830" width="32.44140625" style="29" customWidth="1"/>
    <col min="2831" max="2832" width="18.109375" style="29" customWidth="1"/>
    <col min="2833" max="2833" width="19.88671875" style="29" customWidth="1"/>
    <col min="2834" max="2834" width="19.6640625" style="29" customWidth="1"/>
    <col min="2835" max="2841" width="18.109375" style="29" customWidth="1"/>
    <col min="2842" max="3070" width="8.88671875" style="29"/>
    <col min="3071" max="3071" width="45" style="29" customWidth="1"/>
    <col min="3072" max="3072" width="19.33203125" style="29" customWidth="1"/>
    <col min="3073" max="3073" width="19.44140625" style="29" customWidth="1"/>
    <col min="3074" max="3074" width="20.33203125" style="29" customWidth="1"/>
    <col min="3075" max="3075" width="18.6640625" style="29" customWidth="1"/>
    <col min="3076" max="3076" width="4" style="29" customWidth="1"/>
    <col min="3077" max="3077" width="12.5546875" style="29" customWidth="1"/>
    <col min="3078" max="3078" width="12.88671875" style="29" customWidth="1"/>
    <col min="3079" max="3080" width="11" style="29" customWidth="1"/>
    <col min="3081" max="3081" width="10.6640625" style="29" customWidth="1"/>
    <col min="3082" max="3082" width="10.5546875" style="29" customWidth="1"/>
    <col min="3083" max="3083" width="20" style="29" customWidth="1"/>
    <col min="3084" max="3084" width="23.109375" style="29" customWidth="1"/>
    <col min="3085" max="3085" width="18.109375" style="29" customWidth="1"/>
    <col min="3086" max="3086" width="32.44140625" style="29" customWidth="1"/>
    <col min="3087" max="3088" width="18.109375" style="29" customWidth="1"/>
    <col min="3089" max="3089" width="19.88671875" style="29" customWidth="1"/>
    <col min="3090" max="3090" width="19.6640625" style="29" customWidth="1"/>
    <col min="3091" max="3097" width="18.109375" style="29" customWidth="1"/>
    <col min="3098" max="3326" width="8.88671875" style="29"/>
    <col min="3327" max="3327" width="45" style="29" customWidth="1"/>
    <col min="3328" max="3328" width="19.33203125" style="29" customWidth="1"/>
    <col min="3329" max="3329" width="19.44140625" style="29" customWidth="1"/>
    <col min="3330" max="3330" width="20.33203125" style="29" customWidth="1"/>
    <col min="3331" max="3331" width="18.6640625" style="29" customWidth="1"/>
    <col min="3332" max="3332" width="4" style="29" customWidth="1"/>
    <col min="3333" max="3333" width="12.5546875" style="29" customWidth="1"/>
    <col min="3334" max="3334" width="12.88671875" style="29" customWidth="1"/>
    <col min="3335" max="3336" width="11" style="29" customWidth="1"/>
    <col min="3337" max="3337" width="10.6640625" style="29" customWidth="1"/>
    <col min="3338" max="3338" width="10.5546875" style="29" customWidth="1"/>
    <col min="3339" max="3339" width="20" style="29" customWidth="1"/>
    <col min="3340" max="3340" width="23.109375" style="29" customWidth="1"/>
    <col min="3341" max="3341" width="18.109375" style="29" customWidth="1"/>
    <col min="3342" max="3342" width="32.44140625" style="29" customWidth="1"/>
    <col min="3343" max="3344" width="18.109375" style="29" customWidth="1"/>
    <col min="3345" max="3345" width="19.88671875" style="29" customWidth="1"/>
    <col min="3346" max="3346" width="19.6640625" style="29" customWidth="1"/>
    <col min="3347" max="3353" width="18.109375" style="29" customWidth="1"/>
    <col min="3354" max="3582" width="8.88671875" style="29"/>
    <col min="3583" max="3583" width="45" style="29" customWidth="1"/>
    <col min="3584" max="3584" width="19.33203125" style="29" customWidth="1"/>
    <col min="3585" max="3585" width="19.44140625" style="29" customWidth="1"/>
    <col min="3586" max="3586" width="20.33203125" style="29" customWidth="1"/>
    <col min="3587" max="3587" width="18.6640625" style="29" customWidth="1"/>
    <col min="3588" max="3588" width="4" style="29" customWidth="1"/>
    <col min="3589" max="3589" width="12.5546875" style="29" customWidth="1"/>
    <col min="3590" max="3590" width="12.88671875" style="29" customWidth="1"/>
    <col min="3591" max="3592" width="11" style="29" customWidth="1"/>
    <col min="3593" max="3593" width="10.6640625" style="29" customWidth="1"/>
    <col min="3594" max="3594" width="10.5546875" style="29" customWidth="1"/>
    <col min="3595" max="3595" width="20" style="29" customWidth="1"/>
    <col min="3596" max="3596" width="23.109375" style="29" customWidth="1"/>
    <col min="3597" max="3597" width="18.109375" style="29" customWidth="1"/>
    <col min="3598" max="3598" width="32.44140625" style="29" customWidth="1"/>
    <col min="3599" max="3600" width="18.109375" style="29" customWidth="1"/>
    <col min="3601" max="3601" width="19.88671875" style="29" customWidth="1"/>
    <col min="3602" max="3602" width="19.6640625" style="29" customWidth="1"/>
    <col min="3603" max="3609" width="18.109375" style="29" customWidth="1"/>
    <col min="3610" max="3838" width="8.88671875" style="29"/>
    <col min="3839" max="3839" width="45" style="29" customWidth="1"/>
    <col min="3840" max="3840" width="19.33203125" style="29" customWidth="1"/>
    <col min="3841" max="3841" width="19.44140625" style="29" customWidth="1"/>
    <col min="3842" max="3842" width="20.33203125" style="29" customWidth="1"/>
    <col min="3843" max="3843" width="18.6640625" style="29" customWidth="1"/>
    <col min="3844" max="3844" width="4" style="29" customWidth="1"/>
    <col min="3845" max="3845" width="12.5546875" style="29" customWidth="1"/>
    <col min="3846" max="3846" width="12.88671875" style="29" customWidth="1"/>
    <col min="3847" max="3848" width="11" style="29" customWidth="1"/>
    <col min="3849" max="3849" width="10.6640625" style="29" customWidth="1"/>
    <col min="3850" max="3850" width="10.5546875" style="29" customWidth="1"/>
    <col min="3851" max="3851" width="20" style="29" customWidth="1"/>
    <col min="3852" max="3852" width="23.109375" style="29" customWidth="1"/>
    <col min="3853" max="3853" width="18.109375" style="29" customWidth="1"/>
    <col min="3854" max="3854" width="32.44140625" style="29" customWidth="1"/>
    <col min="3855" max="3856" width="18.109375" style="29" customWidth="1"/>
    <col min="3857" max="3857" width="19.88671875" style="29" customWidth="1"/>
    <col min="3858" max="3858" width="19.6640625" style="29" customWidth="1"/>
    <col min="3859" max="3865" width="18.109375" style="29" customWidth="1"/>
    <col min="3866" max="4094" width="8.88671875" style="29"/>
    <col min="4095" max="4095" width="45" style="29" customWidth="1"/>
    <col min="4096" max="4096" width="19.33203125" style="29" customWidth="1"/>
    <col min="4097" max="4097" width="19.44140625" style="29" customWidth="1"/>
    <col min="4098" max="4098" width="20.33203125" style="29" customWidth="1"/>
    <col min="4099" max="4099" width="18.6640625" style="29" customWidth="1"/>
    <col min="4100" max="4100" width="4" style="29" customWidth="1"/>
    <col min="4101" max="4101" width="12.5546875" style="29" customWidth="1"/>
    <col min="4102" max="4102" width="12.88671875" style="29" customWidth="1"/>
    <col min="4103" max="4104" width="11" style="29" customWidth="1"/>
    <col min="4105" max="4105" width="10.6640625" style="29" customWidth="1"/>
    <col min="4106" max="4106" width="10.5546875" style="29" customWidth="1"/>
    <col min="4107" max="4107" width="20" style="29" customWidth="1"/>
    <col min="4108" max="4108" width="23.109375" style="29" customWidth="1"/>
    <col min="4109" max="4109" width="18.109375" style="29" customWidth="1"/>
    <col min="4110" max="4110" width="32.44140625" style="29" customWidth="1"/>
    <col min="4111" max="4112" width="18.109375" style="29" customWidth="1"/>
    <col min="4113" max="4113" width="19.88671875" style="29" customWidth="1"/>
    <col min="4114" max="4114" width="19.6640625" style="29" customWidth="1"/>
    <col min="4115" max="4121" width="18.109375" style="29" customWidth="1"/>
    <col min="4122" max="4350" width="8.88671875" style="29"/>
    <col min="4351" max="4351" width="45" style="29" customWidth="1"/>
    <col min="4352" max="4352" width="19.33203125" style="29" customWidth="1"/>
    <col min="4353" max="4353" width="19.44140625" style="29" customWidth="1"/>
    <col min="4354" max="4354" width="20.33203125" style="29" customWidth="1"/>
    <col min="4355" max="4355" width="18.6640625" style="29" customWidth="1"/>
    <col min="4356" max="4356" width="4" style="29" customWidth="1"/>
    <col min="4357" max="4357" width="12.5546875" style="29" customWidth="1"/>
    <col min="4358" max="4358" width="12.88671875" style="29" customWidth="1"/>
    <col min="4359" max="4360" width="11" style="29" customWidth="1"/>
    <col min="4361" max="4361" width="10.6640625" style="29" customWidth="1"/>
    <col min="4362" max="4362" width="10.5546875" style="29" customWidth="1"/>
    <col min="4363" max="4363" width="20" style="29" customWidth="1"/>
    <col min="4364" max="4364" width="23.109375" style="29" customWidth="1"/>
    <col min="4365" max="4365" width="18.109375" style="29" customWidth="1"/>
    <col min="4366" max="4366" width="32.44140625" style="29" customWidth="1"/>
    <col min="4367" max="4368" width="18.109375" style="29" customWidth="1"/>
    <col min="4369" max="4369" width="19.88671875" style="29" customWidth="1"/>
    <col min="4370" max="4370" width="19.6640625" style="29" customWidth="1"/>
    <col min="4371" max="4377" width="18.109375" style="29" customWidth="1"/>
    <col min="4378" max="4606" width="8.88671875" style="29"/>
    <col min="4607" max="4607" width="45" style="29" customWidth="1"/>
    <col min="4608" max="4608" width="19.33203125" style="29" customWidth="1"/>
    <col min="4609" max="4609" width="19.44140625" style="29" customWidth="1"/>
    <col min="4610" max="4610" width="20.33203125" style="29" customWidth="1"/>
    <col min="4611" max="4611" width="18.6640625" style="29" customWidth="1"/>
    <col min="4612" max="4612" width="4" style="29" customWidth="1"/>
    <col min="4613" max="4613" width="12.5546875" style="29" customWidth="1"/>
    <col min="4614" max="4614" width="12.88671875" style="29" customWidth="1"/>
    <col min="4615" max="4616" width="11" style="29" customWidth="1"/>
    <col min="4617" max="4617" width="10.6640625" style="29" customWidth="1"/>
    <col min="4618" max="4618" width="10.5546875" style="29" customWidth="1"/>
    <col min="4619" max="4619" width="20" style="29" customWidth="1"/>
    <col min="4620" max="4620" width="23.109375" style="29" customWidth="1"/>
    <col min="4621" max="4621" width="18.109375" style="29" customWidth="1"/>
    <col min="4622" max="4622" width="32.44140625" style="29" customWidth="1"/>
    <col min="4623" max="4624" width="18.109375" style="29" customWidth="1"/>
    <col min="4625" max="4625" width="19.88671875" style="29" customWidth="1"/>
    <col min="4626" max="4626" width="19.6640625" style="29" customWidth="1"/>
    <col min="4627" max="4633" width="18.109375" style="29" customWidth="1"/>
    <col min="4634" max="4862" width="8.88671875" style="29"/>
    <col min="4863" max="4863" width="45" style="29" customWidth="1"/>
    <col min="4864" max="4864" width="19.33203125" style="29" customWidth="1"/>
    <col min="4865" max="4865" width="19.44140625" style="29" customWidth="1"/>
    <col min="4866" max="4866" width="20.33203125" style="29" customWidth="1"/>
    <col min="4867" max="4867" width="18.6640625" style="29" customWidth="1"/>
    <col min="4868" max="4868" width="4" style="29" customWidth="1"/>
    <col min="4869" max="4869" width="12.5546875" style="29" customWidth="1"/>
    <col min="4870" max="4870" width="12.88671875" style="29" customWidth="1"/>
    <col min="4871" max="4872" width="11" style="29" customWidth="1"/>
    <col min="4873" max="4873" width="10.6640625" style="29" customWidth="1"/>
    <col min="4874" max="4874" width="10.5546875" style="29" customWidth="1"/>
    <col min="4875" max="4875" width="20" style="29" customWidth="1"/>
    <col min="4876" max="4876" width="23.109375" style="29" customWidth="1"/>
    <col min="4877" max="4877" width="18.109375" style="29" customWidth="1"/>
    <col min="4878" max="4878" width="32.44140625" style="29" customWidth="1"/>
    <col min="4879" max="4880" width="18.109375" style="29" customWidth="1"/>
    <col min="4881" max="4881" width="19.88671875" style="29" customWidth="1"/>
    <col min="4882" max="4882" width="19.6640625" style="29" customWidth="1"/>
    <col min="4883" max="4889" width="18.109375" style="29" customWidth="1"/>
    <col min="4890" max="5118" width="8.88671875" style="29"/>
    <col min="5119" max="5119" width="45" style="29" customWidth="1"/>
    <col min="5120" max="5120" width="19.33203125" style="29" customWidth="1"/>
    <col min="5121" max="5121" width="19.44140625" style="29" customWidth="1"/>
    <col min="5122" max="5122" width="20.33203125" style="29" customWidth="1"/>
    <col min="5123" max="5123" width="18.6640625" style="29" customWidth="1"/>
    <col min="5124" max="5124" width="4" style="29" customWidth="1"/>
    <col min="5125" max="5125" width="12.5546875" style="29" customWidth="1"/>
    <col min="5126" max="5126" width="12.88671875" style="29" customWidth="1"/>
    <col min="5127" max="5128" width="11" style="29" customWidth="1"/>
    <col min="5129" max="5129" width="10.6640625" style="29" customWidth="1"/>
    <col min="5130" max="5130" width="10.5546875" style="29" customWidth="1"/>
    <col min="5131" max="5131" width="20" style="29" customWidth="1"/>
    <col min="5132" max="5132" width="23.109375" style="29" customWidth="1"/>
    <col min="5133" max="5133" width="18.109375" style="29" customWidth="1"/>
    <col min="5134" max="5134" width="32.44140625" style="29" customWidth="1"/>
    <col min="5135" max="5136" width="18.109375" style="29" customWidth="1"/>
    <col min="5137" max="5137" width="19.88671875" style="29" customWidth="1"/>
    <col min="5138" max="5138" width="19.6640625" style="29" customWidth="1"/>
    <col min="5139" max="5145" width="18.109375" style="29" customWidth="1"/>
    <col min="5146" max="5374" width="8.88671875" style="29"/>
    <col min="5375" max="5375" width="45" style="29" customWidth="1"/>
    <col min="5376" max="5376" width="19.33203125" style="29" customWidth="1"/>
    <col min="5377" max="5377" width="19.44140625" style="29" customWidth="1"/>
    <col min="5378" max="5378" width="20.33203125" style="29" customWidth="1"/>
    <col min="5379" max="5379" width="18.6640625" style="29" customWidth="1"/>
    <col min="5380" max="5380" width="4" style="29" customWidth="1"/>
    <col min="5381" max="5381" width="12.5546875" style="29" customWidth="1"/>
    <col min="5382" max="5382" width="12.88671875" style="29" customWidth="1"/>
    <col min="5383" max="5384" width="11" style="29" customWidth="1"/>
    <col min="5385" max="5385" width="10.6640625" style="29" customWidth="1"/>
    <col min="5386" max="5386" width="10.5546875" style="29" customWidth="1"/>
    <col min="5387" max="5387" width="20" style="29" customWidth="1"/>
    <col min="5388" max="5388" width="23.109375" style="29" customWidth="1"/>
    <col min="5389" max="5389" width="18.109375" style="29" customWidth="1"/>
    <col min="5390" max="5390" width="32.44140625" style="29" customWidth="1"/>
    <col min="5391" max="5392" width="18.109375" style="29" customWidth="1"/>
    <col min="5393" max="5393" width="19.88671875" style="29" customWidth="1"/>
    <col min="5394" max="5394" width="19.6640625" style="29" customWidth="1"/>
    <col min="5395" max="5401" width="18.109375" style="29" customWidth="1"/>
    <col min="5402" max="5630" width="8.88671875" style="29"/>
    <col min="5631" max="5631" width="45" style="29" customWidth="1"/>
    <col min="5632" max="5632" width="19.33203125" style="29" customWidth="1"/>
    <col min="5633" max="5633" width="19.44140625" style="29" customWidth="1"/>
    <col min="5634" max="5634" width="20.33203125" style="29" customWidth="1"/>
    <col min="5635" max="5635" width="18.6640625" style="29" customWidth="1"/>
    <col min="5636" max="5636" width="4" style="29" customWidth="1"/>
    <col min="5637" max="5637" width="12.5546875" style="29" customWidth="1"/>
    <col min="5638" max="5638" width="12.88671875" style="29" customWidth="1"/>
    <col min="5639" max="5640" width="11" style="29" customWidth="1"/>
    <col min="5641" max="5641" width="10.6640625" style="29" customWidth="1"/>
    <col min="5642" max="5642" width="10.5546875" style="29" customWidth="1"/>
    <col min="5643" max="5643" width="20" style="29" customWidth="1"/>
    <col min="5644" max="5644" width="23.109375" style="29" customWidth="1"/>
    <col min="5645" max="5645" width="18.109375" style="29" customWidth="1"/>
    <col min="5646" max="5646" width="32.44140625" style="29" customWidth="1"/>
    <col min="5647" max="5648" width="18.109375" style="29" customWidth="1"/>
    <col min="5649" max="5649" width="19.88671875" style="29" customWidth="1"/>
    <col min="5650" max="5650" width="19.6640625" style="29" customWidth="1"/>
    <col min="5651" max="5657" width="18.109375" style="29" customWidth="1"/>
    <col min="5658" max="5886" width="8.88671875" style="29"/>
    <col min="5887" max="5887" width="45" style="29" customWidth="1"/>
    <col min="5888" max="5888" width="19.33203125" style="29" customWidth="1"/>
    <col min="5889" max="5889" width="19.44140625" style="29" customWidth="1"/>
    <col min="5890" max="5890" width="20.33203125" style="29" customWidth="1"/>
    <col min="5891" max="5891" width="18.6640625" style="29" customWidth="1"/>
    <col min="5892" max="5892" width="4" style="29" customWidth="1"/>
    <col min="5893" max="5893" width="12.5546875" style="29" customWidth="1"/>
    <col min="5894" max="5894" width="12.88671875" style="29" customWidth="1"/>
    <col min="5895" max="5896" width="11" style="29" customWidth="1"/>
    <col min="5897" max="5897" width="10.6640625" style="29" customWidth="1"/>
    <col min="5898" max="5898" width="10.5546875" style="29" customWidth="1"/>
    <col min="5899" max="5899" width="20" style="29" customWidth="1"/>
    <col min="5900" max="5900" width="23.109375" style="29" customWidth="1"/>
    <col min="5901" max="5901" width="18.109375" style="29" customWidth="1"/>
    <col min="5902" max="5902" width="32.44140625" style="29" customWidth="1"/>
    <col min="5903" max="5904" width="18.109375" style="29" customWidth="1"/>
    <col min="5905" max="5905" width="19.88671875" style="29" customWidth="1"/>
    <col min="5906" max="5906" width="19.6640625" style="29" customWidth="1"/>
    <col min="5907" max="5913" width="18.109375" style="29" customWidth="1"/>
    <col min="5914" max="6142" width="8.88671875" style="29"/>
    <col min="6143" max="6143" width="45" style="29" customWidth="1"/>
    <col min="6144" max="6144" width="19.33203125" style="29" customWidth="1"/>
    <col min="6145" max="6145" width="19.44140625" style="29" customWidth="1"/>
    <col min="6146" max="6146" width="20.33203125" style="29" customWidth="1"/>
    <col min="6147" max="6147" width="18.6640625" style="29" customWidth="1"/>
    <col min="6148" max="6148" width="4" style="29" customWidth="1"/>
    <col min="6149" max="6149" width="12.5546875" style="29" customWidth="1"/>
    <col min="6150" max="6150" width="12.88671875" style="29" customWidth="1"/>
    <col min="6151" max="6152" width="11" style="29" customWidth="1"/>
    <col min="6153" max="6153" width="10.6640625" style="29" customWidth="1"/>
    <col min="6154" max="6154" width="10.5546875" style="29" customWidth="1"/>
    <col min="6155" max="6155" width="20" style="29" customWidth="1"/>
    <col min="6156" max="6156" width="23.109375" style="29" customWidth="1"/>
    <col min="6157" max="6157" width="18.109375" style="29" customWidth="1"/>
    <col min="6158" max="6158" width="32.44140625" style="29" customWidth="1"/>
    <col min="6159" max="6160" width="18.109375" style="29" customWidth="1"/>
    <col min="6161" max="6161" width="19.88671875" style="29" customWidth="1"/>
    <col min="6162" max="6162" width="19.6640625" style="29" customWidth="1"/>
    <col min="6163" max="6169" width="18.109375" style="29" customWidth="1"/>
    <col min="6170" max="6398" width="8.88671875" style="29"/>
    <col min="6399" max="6399" width="45" style="29" customWidth="1"/>
    <col min="6400" max="6400" width="19.33203125" style="29" customWidth="1"/>
    <col min="6401" max="6401" width="19.44140625" style="29" customWidth="1"/>
    <col min="6402" max="6402" width="20.33203125" style="29" customWidth="1"/>
    <col min="6403" max="6403" width="18.6640625" style="29" customWidth="1"/>
    <col min="6404" max="6404" width="4" style="29" customWidth="1"/>
    <col min="6405" max="6405" width="12.5546875" style="29" customWidth="1"/>
    <col min="6406" max="6406" width="12.88671875" style="29" customWidth="1"/>
    <col min="6407" max="6408" width="11" style="29" customWidth="1"/>
    <col min="6409" max="6409" width="10.6640625" style="29" customWidth="1"/>
    <col min="6410" max="6410" width="10.5546875" style="29" customWidth="1"/>
    <col min="6411" max="6411" width="20" style="29" customWidth="1"/>
    <col min="6412" max="6412" width="23.109375" style="29" customWidth="1"/>
    <col min="6413" max="6413" width="18.109375" style="29" customWidth="1"/>
    <col min="6414" max="6414" width="32.44140625" style="29" customWidth="1"/>
    <col min="6415" max="6416" width="18.109375" style="29" customWidth="1"/>
    <col min="6417" max="6417" width="19.88671875" style="29" customWidth="1"/>
    <col min="6418" max="6418" width="19.6640625" style="29" customWidth="1"/>
    <col min="6419" max="6425" width="18.109375" style="29" customWidth="1"/>
    <col min="6426" max="6654" width="8.88671875" style="29"/>
    <col min="6655" max="6655" width="45" style="29" customWidth="1"/>
    <col min="6656" max="6656" width="19.33203125" style="29" customWidth="1"/>
    <col min="6657" max="6657" width="19.44140625" style="29" customWidth="1"/>
    <col min="6658" max="6658" width="20.33203125" style="29" customWidth="1"/>
    <col min="6659" max="6659" width="18.6640625" style="29" customWidth="1"/>
    <col min="6660" max="6660" width="4" style="29" customWidth="1"/>
    <col min="6661" max="6661" width="12.5546875" style="29" customWidth="1"/>
    <col min="6662" max="6662" width="12.88671875" style="29" customWidth="1"/>
    <col min="6663" max="6664" width="11" style="29" customWidth="1"/>
    <col min="6665" max="6665" width="10.6640625" style="29" customWidth="1"/>
    <col min="6666" max="6666" width="10.5546875" style="29" customWidth="1"/>
    <col min="6667" max="6667" width="20" style="29" customWidth="1"/>
    <col min="6668" max="6668" width="23.109375" style="29" customWidth="1"/>
    <col min="6669" max="6669" width="18.109375" style="29" customWidth="1"/>
    <col min="6670" max="6670" width="32.44140625" style="29" customWidth="1"/>
    <col min="6671" max="6672" width="18.109375" style="29" customWidth="1"/>
    <col min="6673" max="6673" width="19.88671875" style="29" customWidth="1"/>
    <col min="6674" max="6674" width="19.6640625" style="29" customWidth="1"/>
    <col min="6675" max="6681" width="18.109375" style="29" customWidth="1"/>
    <col min="6682" max="6910" width="8.88671875" style="29"/>
    <col min="6911" max="6911" width="45" style="29" customWidth="1"/>
    <col min="6912" max="6912" width="19.33203125" style="29" customWidth="1"/>
    <col min="6913" max="6913" width="19.44140625" style="29" customWidth="1"/>
    <col min="6914" max="6914" width="20.33203125" style="29" customWidth="1"/>
    <col min="6915" max="6915" width="18.6640625" style="29" customWidth="1"/>
    <col min="6916" max="6916" width="4" style="29" customWidth="1"/>
    <col min="6917" max="6917" width="12.5546875" style="29" customWidth="1"/>
    <col min="6918" max="6918" width="12.88671875" style="29" customWidth="1"/>
    <col min="6919" max="6920" width="11" style="29" customWidth="1"/>
    <col min="6921" max="6921" width="10.6640625" style="29" customWidth="1"/>
    <col min="6922" max="6922" width="10.5546875" style="29" customWidth="1"/>
    <col min="6923" max="6923" width="20" style="29" customWidth="1"/>
    <col min="6924" max="6924" width="23.109375" style="29" customWidth="1"/>
    <col min="6925" max="6925" width="18.109375" style="29" customWidth="1"/>
    <col min="6926" max="6926" width="32.44140625" style="29" customWidth="1"/>
    <col min="6927" max="6928" width="18.109375" style="29" customWidth="1"/>
    <col min="6929" max="6929" width="19.88671875" style="29" customWidth="1"/>
    <col min="6930" max="6930" width="19.6640625" style="29" customWidth="1"/>
    <col min="6931" max="6937" width="18.109375" style="29" customWidth="1"/>
    <col min="6938" max="7166" width="8.88671875" style="29"/>
    <col min="7167" max="7167" width="45" style="29" customWidth="1"/>
    <col min="7168" max="7168" width="19.33203125" style="29" customWidth="1"/>
    <col min="7169" max="7169" width="19.44140625" style="29" customWidth="1"/>
    <col min="7170" max="7170" width="20.33203125" style="29" customWidth="1"/>
    <col min="7171" max="7171" width="18.6640625" style="29" customWidth="1"/>
    <col min="7172" max="7172" width="4" style="29" customWidth="1"/>
    <col min="7173" max="7173" width="12.5546875" style="29" customWidth="1"/>
    <col min="7174" max="7174" width="12.88671875" style="29" customWidth="1"/>
    <col min="7175" max="7176" width="11" style="29" customWidth="1"/>
    <col min="7177" max="7177" width="10.6640625" style="29" customWidth="1"/>
    <col min="7178" max="7178" width="10.5546875" style="29" customWidth="1"/>
    <col min="7179" max="7179" width="20" style="29" customWidth="1"/>
    <col min="7180" max="7180" width="23.109375" style="29" customWidth="1"/>
    <col min="7181" max="7181" width="18.109375" style="29" customWidth="1"/>
    <col min="7182" max="7182" width="32.44140625" style="29" customWidth="1"/>
    <col min="7183" max="7184" width="18.109375" style="29" customWidth="1"/>
    <col min="7185" max="7185" width="19.88671875" style="29" customWidth="1"/>
    <col min="7186" max="7186" width="19.6640625" style="29" customWidth="1"/>
    <col min="7187" max="7193" width="18.109375" style="29" customWidth="1"/>
    <col min="7194" max="7422" width="8.88671875" style="29"/>
    <col min="7423" max="7423" width="45" style="29" customWidth="1"/>
    <col min="7424" max="7424" width="19.33203125" style="29" customWidth="1"/>
    <col min="7425" max="7425" width="19.44140625" style="29" customWidth="1"/>
    <col min="7426" max="7426" width="20.33203125" style="29" customWidth="1"/>
    <col min="7427" max="7427" width="18.6640625" style="29" customWidth="1"/>
    <col min="7428" max="7428" width="4" style="29" customWidth="1"/>
    <col min="7429" max="7429" width="12.5546875" style="29" customWidth="1"/>
    <col min="7430" max="7430" width="12.88671875" style="29" customWidth="1"/>
    <col min="7431" max="7432" width="11" style="29" customWidth="1"/>
    <col min="7433" max="7433" width="10.6640625" style="29" customWidth="1"/>
    <col min="7434" max="7434" width="10.5546875" style="29" customWidth="1"/>
    <col min="7435" max="7435" width="20" style="29" customWidth="1"/>
    <col min="7436" max="7436" width="23.109375" style="29" customWidth="1"/>
    <col min="7437" max="7437" width="18.109375" style="29" customWidth="1"/>
    <col min="7438" max="7438" width="32.44140625" style="29" customWidth="1"/>
    <col min="7439" max="7440" width="18.109375" style="29" customWidth="1"/>
    <col min="7441" max="7441" width="19.88671875" style="29" customWidth="1"/>
    <col min="7442" max="7442" width="19.6640625" style="29" customWidth="1"/>
    <col min="7443" max="7449" width="18.109375" style="29" customWidth="1"/>
    <col min="7450" max="7678" width="8.88671875" style="29"/>
    <col min="7679" max="7679" width="45" style="29" customWidth="1"/>
    <col min="7680" max="7680" width="19.33203125" style="29" customWidth="1"/>
    <col min="7681" max="7681" width="19.44140625" style="29" customWidth="1"/>
    <col min="7682" max="7682" width="20.33203125" style="29" customWidth="1"/>
    <col min="7683" max="7683" width="18.6640625" style="29" customWidth="1"/>
    <col min="7684" max="7684" width="4" style="29" customWidth="1"/>
    <col min="7685" max="7685" width="12.5546875" style="29" customWidth="1"/>
    <col min="7686" max="7686" width="12.88671875" style="29" customWidth="1"/>
    <col min="7687" max="7688" width="11" style="29" customWidth="1"/>
    <col min="7689" max="7689" width="10.6640625" style="29" customWidth="1"/>
    <col min="7690" max="7690" width="10.5546875" style="29" customWidth="1"/>
    <col min="7691" max="7691" width="20" style="29" customWidth="1"/>
    <col min="7692" max="7692" width="23.109375" style="29" customWidth="1"/>
    <col min="7693" max="7693" width="18.109375" style="29" customWidth="1"/>
    <col min="7694" max="7694" width="32.44140625" style="29" customWidth="1"/>
    <col min="7695" max="7696" width="18.109375" style="29" customWidth="1"/>
    <col min="7697" max="7697" width="19.88671875" style="29" customWidth="1"/>
    <col min="7698" max="7698" width="19.6640625" style="29" customWidth="1"/>
    <col min="7699" max="7705" width="18.109375" style="29" customWidth="1"/>
    <col min="7706" max="7934" width="8.88671875" style="29"/>
    <col min="7935" max="7935" width="45" style="29" customWidth="1"/>
    <col min="7936" max="7936" width="19.33203125" style="29" customWidth="1"/>
    <col min="7937" max="7937" width="19.44140625" style="29" customWidth="1"/>
    <col min="7938" max="7938" width="20.33203125" style="29" customWidth="1"/>
    <col min="7939" max="7939" width="18.6640625" style="29" customWidth="1"/>
    <col min="7940" max="7940" width="4" style="29" customWidth="1"/>
    <col min="7941" max="7941" width="12.5546875" style="29" customWidth="1"/>
    <col min="7942" max="7942" width="12.88671875" style="29" customWidth="1"/>
    <col min="7943" max="7944" width="11" style="29" customWidth="1"/>
    <col min="7945" max="7945" width="10.6640625" style="29" customWidth="1"/>
    <col min="7946" max="7946" width="10.5546875" style="29" customWidth="1"/>
    <col min="7947" max="7947" width="20" style="29" customWidth="1"/>
    <col min="7948" max="7948" width="23.109375" style="29" customWidth="1"/>
    <col min="7949" max="7949" width="18.109375" style="29" customWidth="1"/>
    <col min="7950" max="7950" width="32.44140625" style="29" customWidth="1"/>
    <col min="7951" max="7952" width="18.109375" style="29" customWidth="1"/>
    <col min="7953" max="7953" width="19.88671875" style="29" customWidth="1"/>
    <col min="7954" max="7954" width="19.6640625" style="29" customWidth="1"/>
    <col min="7955" max="7961" width="18.109375" style="29" customWidth="1"/>
    <col min="7962" max="8190" width="8.88671875" style="29"/>
    <col min="8191" max="8191" width="45" style="29" customWidth="1"/>
    <col min="8192" max="8192" width="19.33203125" style="29" customWidth="1"/>
    <col min="8193" max="8193" width="19.44140625" style="29" customWidth="1"/>
    <col min="8194" max="8194" width="20.33203125" style="29" customWidth="1"/>
    <col min="8195" max="8195" width="18.6640625" style="29" customWidth="1"/>
    <col min="8196" max="8196" width="4" style="29" customWidth="1"/>
    <col min="8197" max="8197" width="12.5546875" style="29" customWidth="1"/>
    <col min="8198" max="8198" width="12.88671875" style="29" customWidth="1"/>
    <col min="8199" max="8200" width="11" style="29" customWidth="1"/>
    <col min="8201" max="8201" width="10.6640625" style="29" customWidth="1"/>
    <col min="8202" max="8202" width="10.5546875" style="29" customWidth="1"/>
    <col min="8203" max="8203" width="20" style="29" customWidth="1"/>
    <col min="8204" max="8204" width="23.109375" style="29" customWidth="1"/>
    <col min="8205" max="8205" width="18.109375" style="29" customWidth="1"/>
    <col min="8206" max="8206" width="32.44140625" style="29" customWidth="1"/>
    <col min="8207" max="8208" width="18.109375" style="29" customWidth="1"/>
    <col min="8209" max="8209" width="19.88671875" style="29" customWidth="1"/>
    <col min="8210" max="8210" width="19.6640625" style="29" customWidth="1"/>
    <col min="8211" max="8217" width="18.109375" style="29" customWidth="1"/>
    <col min="8218" max="8446" width="8.88671875" style="29"/>
    <col min="8447" max="8447" width="45" style="29" customWidth="1"/>
    <col min="8448" max="8448" width="19.33203125" style="29" customWidth="1"/>
    <col min="8449" max="8449" width="19.44140625" style="29" customWidth="1"/>
    <col min="8450" max="8450" width="20.33203125" style="29" customWidth="1"/>
    <col min="8451" max="8451" width="18.6640625" style="29" customWidth="1"/>
    <col min="8452" max="8452" width="4" style="29" customWidth="1"/>
    <col min="8453" max="8453" width="12.5546875" style="29" customWidth="1"/>
    <col min="8454" max="8454" width="12.88671875" style="29" customWidth="1"/>
    <col min="8455" max="8456" width="11" style="29" customWidth="1"/>
    <col min="8457" max="8457" width="10.6640625" style="29" customWidth="1"/>
    <col min="8458" max="8458" width="10.5546875" style="29" customWidth="1"/>
    <col min="8459" max="8459" width="20" style="29" customWidth="1"/>
    <col min="8460" max="8460" width="23.109375" style="29" customWidth="1"/>
    <col min="8461" max="8461" width="18.109375" style="29" customWidth="1"/>
    <col min="8462" max="8462" width="32.44140625" style="29" customWidth="1"/>
    <col min="8463" max="8464" width="18.109375" style="29" customWidth="1"/>
    <col min="8465" max="8465" width="19.88671875" style="29" customWidth="1"/>
    <col min="8466" max="8466" width="19.6640625" style="29" customWidth="1"/>
    <col min="8467" max="8473" width="18.109375" style="29" customWidth="1"/>
    <col min="8474" max="8702" width="8.88671875" style="29"/>
    <col min="8703" max="8703" width="45" style="29" customWidth="1"/>
    <col min="8704" max="8704" width="19.33203125" style="29" customWidth="1"/>
    <col min="8705" max="8705" width="19.44140625" style="29" customWidth="1"/>
    <col min="8706" max="8706" width="20.33203125" style="29" customWidth="1"/>
    <col min="8707" max="8707" width="18.6640625" style="29" customWidth="1"/>
    <col min="8708" max="8708" width="4" style="29" customWidth="1"/>
    <col min="8709" max="8709" width="12.5546875" style="29" customWidth="1"/>
    <col min="8710" max="8710" width="12.88671875" style="29" customWidth="1"/>
    <col min="8711" max="8712" width="11" style="29" customWidth="1"/>
    <col min="8713" max="8713" width="10.6640625" style="29" customWidth="1"/>
    <col min="8714" max="8714" width="10.5546875" style="29" customWidth="1"/>
    <col min="8715" max="8715" width="20" style="29" customWidth="1"/>
    <col min="8716" max="8716" width="23.109375" style="29" customWidth="1"/>
    <col min="8717" max="8717" width="18.109375" style="29" customWidth="1"/>
    <col min="8718" max="8718" width="32.44140625" style="29" customWidth="1"/>
    <col min="8719" max="8720" width="18.109375" style="29" customWidth="1"/>
    <col min="8721" max="8721" width="19.88671875" style="29" customWidth="1"/>
    <col min="8722" max="8722" width="19.6640625" style="29" customWidth="1"/>
    <col min="8723" max="8729" width="18.109375" style="29" customWidth="1"/>
    <col min="8730" max="8958" width="8.88671875" style="29"/>
    <col min="8959" max="8959" width="45" style="29" customWidth="1"/>
    <col min="8960" max="8960" width="19.33203125" style="29" customWidth="1"/>
    <col min="8961" max="8961" width="19.44140625" style="29" customWidth="1"/>
    <col min="8962" max="8962" width="20.33203125" style="29" customWidth="1"/>
    <col min="8963" max="8963" width="18.6640625" style="29" customWidth="1"/>
    <col min="8964" max="8964" width="4" style="29" customWidth="1"/>
    <col min="8965" max="8965" width="12.5546875" style="29" customWidth="1"/>
    <col min="8966" max="8966" width="12.88671875" style="29" customWidth="1"/>
    <col min="8967" max="8968" width="11" style="29" customWidth="1"/>
    <col min="8969" max="8969" width="10.6640625" style="29" customWidth="1"/>
    <col min="8970" max="8970" width="10.5546875" style="29" customWidth="1"/>
    <col min="8971" max="8971" width="20" style="29" customWidth="1"/>
    <col min="8972" max="8972" width="23.109375" style="29" customWidth="1"/>
    <col min="8973" max="8973" width="18.109375" style="29" customWidth="1"/>
    <col min="8974" max="8974" width="32.44140625" style="29" customWidth="1"/>
    <col min="8975" max="8976" width="18.109375" style="29" customWidth="1"/>
    <col min="8977" max="8977" width="19.88671875" style="29" customWidth="1"/>
    <col min="8978" max="8978" width="19.6640625" style="29" customWidth="1"/>
    <col min="8979" max="8985" width="18.109375" style="29" customWidth="1"/>
    <col min="8986" max="9214" width="8.88671875" style="29"/>
    <col min="9215" max="9215" width="45" style="29" customWidth="1"/>
    <col min="9216" max="9216" width="19.33203125" style="29" customWidth="1"/>
    <col min="9217" max="9217" width="19.44140625" style="29" customWidth="1"/>
    <col min="9218" max="9218" width="20.33203125" style="29" customWidth="1"/>
    <col min="9219" max="9219" width="18.6640625" style="29" customWidth="1"/>
    <col min="9220" max="9220" width="4" style="29" customWidth="1"/>
    <col min="9221" max="9221" width="12.5546875" style="29" customWidth="1"/>
    <col min="9222" max="9222" width="12.88671875" style="29" customWidth="1"/>
    <col min="9223" max="9224" width="11" style="29" customWidth="1"/>
    <col min="9225" max="9225" width="10.6640625" style="29" customWidth="1"/>
    <col min="9226" max="9226" width="10.5546875" style="29" customWidth="1"/>
    <col min="9227" max="9227" width="20" style="29" customWidth="1"/>
    <col min="9228" max="9228" width="23.109375" style="29" customWidth="1"/>
    <col min="9229" max="9229" width="18.109375" style="29" customWidth="1"/>
    <col min="9230" max="9230" width="32.44140625" style="29" customWidth="1"/>
    <col min="9231" max="9232" width="18.109375" style="29" customWidth="1"/>
    <col min="9233" max="9233" width="19.88671875" style="29" customWidth="1"/>
    <col min="9234" max="9234" width="19.6640625" style="29" customWidth="1"/>
    <col min="9235" max="9241" width="18.109375" style="29" customWidth="1"/>
    <col min="9242" max="9470" width="8.88671875" style="29"/>
    <col min="9471" max="9471" width="45" style="29" customWidth="1"/>
    <col min="9472" max="9472" width="19.33203125" style="29" customWidth="1"/>
    <col min="9473" max="9473" width="19.44140625" style="29" customWidth="1"/>
    <col min="9474" max="9474" width="20.33203125" style="29" customWidth="1"/>
    <col min="9475" max="9475" width="18.6640625" style="29" customWidth="1"/>
    <col min="9476" max="9476" width="4" style="29" customWidth="1"/>
    <col min="9477" max="9477" width="12.5546875" style="29" customWidth="1"/>
    <col min="9478" max="9478" width="12.88671875" style="29" customWidth="1"/>
    <col min="9479" max="9480" width="11" style="29" customWidth="1"/>
    <col min="9481" max="9481" width="10.6640625" style="29" customWidth="1"/>
    <col min="9482" max="9482" width="10.5546875" style="29" customWidth="1"/>
    <col min="9483" max="9483" width="20" style="29" customWidth="1"/>
    <col min="9484" max="9484" width="23.109375" style="29" customWidth="1"/>
    <col min="9485" max="9485" width="18.109375" style="29" customWidth="1"/>
    <col min="9486" max="9486" width="32.44140625" style="29" customWidth="1"/>
    <col min="9487" max="9488" width="18.109375" style="29" customWidth="1"/>
    <col min="9489" max="9489" width="19.88671875" style="29" customWidth="1"/>
    <col min="9490" max="9490" width="19.6640625" style="29" customWidth="1"/>
    <col min="9491" max="9497" width="18.109375" style="29" customWidth="1"/>
    <col min="9498" max="9726" width="8.88671875" style="29"/>
    <col min="9727" max="9727" width="45" style="29" customWidth="1"/>
    <col min="9728" max="9728" width="19.33203125" style="29" customWidth="1"/>
    <col min="9729" max="9729" width="19.44140625" style="29" customWidth="1"/>
    <col min="9730" max="9730" width="20.33203125" style="29" customWidth="1"/>
    <col min="9731" max="9731" width="18.6640625" style="29" customWidth="1"/>
    <col min="9732" max="9732" width="4" style="29" customWidth="1"/>
    <col min="9733" max="9733" width="12.5546875" style="29" customWidth="1"/>
    <col min="9734" max="9734" width="12.88671875" style="29" customWidth="1"/>
    <col min="9735" max="9736" width="11" style="29" customWidth="1"/>
    <col min="9737" max="9737" width="10.6640625" style="29" customWidth="1"/>
    <col min="9738" max="9738" width="10.5546875" style="29" customWidth="1"/>
    <col min="9739" max="9739" width="20" style="29" customWidth="1"/>
    <col min="9740" max="9740" width="23.109375" style="29" customWidth="1"/>
    <col min="9741" max="9741" width="18.109375" style="29" customWidth="1"/>
    <col min="9742" max="9742" width="32.44140625" style="29" customWidth="1"/>
    <col min="9743" max="9744" width="18.109375" style="29" customWidth="1"/>
    <col min="9745" max="9745" width="19.88671875" style="29" customWidth="1"/>
    <col min="9746" max="9746" width="19.6640625" style="29" customWidth="1"/>
    <col min="9747" max="9753" width="18.109375" style="29" customWidth="1"/>
    <col min="9754" max="9982" width="8.88671875" style="29"/>
    <col min="9983" max="9983" width="45" style="29" customWidth="1"/>
    <col min="9984" max="9984" width="19.33203125" style="29" customWidth="1"/>
    <col min="9985" max="9985" width="19.44140625" style="29" customWidth="1"/>
    <col min="9986" max="9986" width="20.33203125" style="29" customWidth="1"/>
    <col min="9987" max="9987" width="18.6640625" style="29" customWidth="1"/>
    <col min="9988" max="9988" width="4" style="29" customWidth="1"/>
    <col min="9989" max="9989" width="12.5546875" style="29" customWidth="1"/>
    <col min="9990" max="9990" width="12.88671875" style="29" customWidth="1"/>
    <col min="9991" max="9992" width="11" style="29" customWidth="1"/>
    <col min="9993" max="9993" width="10.6640625" style="29" customWidth="1"/>
    <col min="9994" max="9994" width="10.5546875" style="29" customWidth="1"/>
    <col min="9995" max="9995" width="20" style="29" customWidth="1"/>
    <col min="9996" max="9996" width="23.109375" style="29" customWidth="1"/>
    <col min="9997" max="9997" width="18.109375" style="29" customWidth="1"/>
    <col min="9998" max="9998" width="32.44140625" style="29" customWidth="1"/>
    <col min="9999" max="10000" width="18.109375" style="29" customWidth="1"/>
    <col min="10001" max="10001" width="19.88671875" style="29" customWidth="1"/>
    <col min="10002" max="10002" width="19.6640625" style="29" customWidth="1"/>
    <col min="10003" max="10009" width="18.109375" style="29" customWidth="1"/>
    <col min="10010" max="10238" width="8.88671875" style="29"/>
    <col min="10239" max="10239" width="45" style="29" customWidth="1"/>
    <col min="10240" max="10240" width="19.33203125" style="29" customWidth="1"/>
    <col min="10241" max="10241" width="19.44140625" style="29" customWidth="1"/>
    <col min="10242" max="10242" width="20.33203125" style="29" customWidth="1"/>
    <col min="10243" max="10243" width="18.6640625" style="29" customWidth="1"/>
    <col min="10244" max="10244" width="4" style="29" customWidth="1"/>
    <col min="10245" max="10245" width="12.5546875" style="29" customWidth="1"/>
    <col min="10246" max="10246" width="12.88671875" style="29" customWidth="1"/>
    <col min="10247" max="10248" width="11" style="29" customWidth="1"/>
    <col min="10249" max="10249" width="10.6640625" style="29" customWidth="1"/>
    <col min="10250" max="10250" width="10.5546875" style="29" customWidth="1"/>
    <col min="10251" max="10251" width="20" style="29" customWidth="1"/>
    <col min="10252" max="10252" width="23.109375" style="29" customWidth="1"/>
    <col min="10253" max="10253" width="18.109375" style="29" customWidth="1"/>
    <col min="10254" max="10254" width="32.44140625" style="29" customWidth="1"/>
    <col min="10255" max="10256" width="18.109375" style="29" customWidth="1"/>
    <col min="10257" max="10257" width="19.88671875" style="29" customWidth="1"/>
    <col min="10258" max="10258" width="19.6640625" style="29" customWidth="1"/>
    <col min="10259" max="10265" width="18.109375" style="29" customWidth="1"/>
    <col min="10266" max="10494" width="8.88671875" style="29"/>
    <col min="10495" max="10495" width="45" style="29" customWidth="1"/>
    <col min="10496" max="10496" width="19.33203125" style="29" customWidth="1"/>
    <col min="10497" max="10497" width="19.44140625" style="29" customWidth="1"/>
    <col min="10498" max="10498" width="20.33203125" style="29" customWidth="1"/>
    <col min="10499" max="10499" width="18.6640625" style="29" customWidth="1"/>
    <col min="10500" max="10500" width="4" style="29" customWidth="1"/>
    <col min="10501" max="10501" width="12.5546875" style="29" customWidth="1"/>
    <col min="10502" max="10502" width="12.88671875" style="29" customWidth="1"/>
    <col min="10503" max="10504" width="11" style="29" customWidth="1"/>
    <col min="10505" max="10505" width="10.6640625" style="29" customWidth="1"/>
    <col min="10506" max="10506" width="10.5546875" style="29" customWidth="1"/>
    <col min="10507" max="10507" width="20" style="29" customWidth="1"/>
    <col min="10508" max="10508" width="23.109375" style="29" customWidth="1"/>
    <col min="10509" max="10509" width="18.109375" style="29" customWidth="1"/>
    <col min="10510" max="10510" width="32.44140625" style="29" customWidth="1"/>
    <col min="10511" max="10512" width="18.109375" style="29" customWidth="1"/>
    <col min="10513" max="10513" width="19.88671875" style="29" customWidth="1"/>
    <col min="10514" max="10514" width="19.6640625" style="29" customWidth="1"/>
    <col min="10515" max="10521" width="18.109375" style="29" customWidth="1"/>
    <col min="10522" max="10750" width="8.88671875" style="29"/>
    <col min="10751" max="10751" width="45" style="29" customWidth="1"/>
    <col min="10752" max="10752" width="19.33203125" style="29" customWidth="1"/>
    <col min="10753" max="10753" width="19.44140625" style="29" customWidth="1"/>
    <col min="10754" max="10754" width="20.33203125" style="29" customWidth="1"/>
    <col min="10755" max="10755" width="18.6640625" style="29" customWidth="1"/>
    <col min="10756" max="10756" width="4" style="29" customWidth="1"/>
    <col min="10757" max="10757" width="12.5546875" style="29" customWidth="1"/>
    <col min="10758" max="10758" width="12.88671875" style="29" customWidth="1"/>
    <col min="10759" max="10760" width="11" style="29" customWidth="1"/>
    <col min="10761" max="10761" width="10.6640625" style="29" customWidth="1"/>
    <col min="10762" max="10762" width="10.5546875" style="29" customWidth="1"/>
    <col min="10763" max="10763" width="20" style="29" customWidth="1"/>
    <col min="10764" max="10764" width="23.109375" style="29" customWidth="1"/>
    <col min="10765" max="10765" width="18.109375" style="29" customWidth="1"/>
    <col min="10766" max="10766" width="32.44140625" style="29" customWidth="1"/>
    <col min="10767" max="10768" width="18.109375" style="29" customWidth="1"/>
    <col min="10769" max="10769" width="19.88671875" style="29" customWidth="1"/>
    <col min="10770" max="10770" width="19.6640625" style="29" customWidth="1"/>
    <col min="10771" max="10777" width="18.109375" style="29" customWidth="1"/>
    <col min="10778" max="11006" width="8.88671875" style="29"/>
    <col min="11007" max="11007" width="45" style="29" customWidth="1"/>
    <col min="11008" max="11008" width="19.33203125" style="29" customWidth="1"/>
    <col min="11009" max="11009" width="19.44140625" style="29" customWidth="1"/>
    <col min="11010" max="11010" width="20.33203125" style="29" customWidth="1"/>
    <col min="11011" max="11011" width="18.6640625" style="29" customWidth="1"/>
    <col min="11012" max="11012" width="4" style="29" customWidth="1"/>
    <col min="11013" max="11013" width="12.5546875" style="29" customWidth="1"/>
    <col min="11014" max="11014" width="12.88671875" style="29" customWidth="1"/>
    <col min="11015" max="11016" width="11" style="29" customWidth="1"/>
    <col min="11017" max="11017" width="10.6640625" style="29" customWidth="1"/>
    <col min="11018" max="11018" width="10.5546875" style="29" customWidth="1"/>
    <col min="11019" max="11019" width="20" style="29" customWidth="1"/>
    <col min="11020" max="11020" width="23.109375" style="29" customWidth="1"/>
    <col min="11021" max="11021" width="18.109375" style="29" customWidth="1"/>
    <col min="11022" max="11022" width="32.44140625" style="29" customWidth="1"/>
    <col min="11023" max="11024" width="18.109375" style="29" customWidth="1"/>
    <col min="11025" max="11025" width="19.88671875" style="29" customWidth="1"/>
    <col min="11026" max="11026" width="19.6640625" style="29" customWidth="1"/>
    <col min="11027" max="11033" width="18.109375" style="29" customWidth="1"/>
    <col min="11034" max="11262" width="8.88671875" style="29"/>
    <col min="11263" max="11263" width="45" style="29" customWidth="1"/>
    <col min="11264" max="11264" width="19.33203125" style="29" customWidth="1"/>
    <col min="11265" max="11265" width="19.44140625" style="29" customWidth="1"/>
    <col min="11266" max="11266" width="20.33203125" style="29" customWidth="1"/>
    <col min="11267" max="11267" width="18.6640625" style="29" customWidth="1"/>
    <col min="11268" max="11268" width="4" style="29" customWidth="1"/>
    <col min="11269" max="11269" width="12.5546875" style="29" customWidth="1"/>
    <col min="11270" max="11270" width="12.88671875" style="29" customWidth="1"/>
    <col min="11271" max="11272" width="11" style="29" customWidth="1"/>
    <col min="11273" max="11273" width="10.6640625" style="29" customWidth="1"/>
    <col min="11274" max="11274" width="10.5546875" style="29" customWidth="1"/>
    <col min="11275" max="11275" width="20" style="29" customWidth="1"/>
    <col min="11276" max="11276" width="23.109375" style="29" customWidth="1"/>
    <col min="11277" max="11277" width="18.109375" style="29" customWidth="1"/>
    <col min="11278" max="11278" width="32.44140625" style="29" customWidth="1"/>
    <col min="11279" max="11280" width="18.109375" style="29" customWidth="1"/>
    <col min="11281" max="11281" width="19.88671875" style="29" customWidth="1"/>
    <col min="11282" max="11282" width="19.6640625" style="29" customWidth="1"/>
    <col min="11283" max="11289" width="18.109375" style="29" customWidth="1"/>
    <col min="11290" max="11518" width="8.88671875" style="29"/>
    <col min="11519" max="11519" width="45" style="29" customWidth="1"/>
    <col min="11520" max="11520" width="19.33203125" style="29" customWidth="1"/>
    <col min="11521" max="11521" width="19.44140625" style="29" customWidth="1"/>
    <col min="11522" max="11522" width="20.33203125" style="29" customWidth="1"/>
    <col min="11523" max="11523" width="18.6640625" style="29" customWidth="1"/>
    <col min="11524" max="11524" width="4" style="29" customWidth="1"/>
    <col min="11525" max="11525" width="12.5546875" style="29" customWidth="1"/>
    <col min="11526" max="11526" width="12.88671875" style="29" customWidth="1"/>
    <col min="11527" max="11528" width="11" style="29" customWidth="1"/>
    <col min="11529" max="11529" width="10.6640625" style="29" customWidth="1"/>
    <col min="11530" max="11530" width="10.5546875" style="29" customWidth="1"/>
    <col min="11531" max="11531" width="20" style="29" customWidth="1"/>
    <col min="11532" max="11532" width="23.109375" style="29" customWidth="1"/>
    <col min="11533" max="11533" width="18.109375" style="29" customWidth="1"/>
    <col min="11534" max="11534" width="32.44140625" style="29" customWidth="1"/>
    <col min="11535" max="11536" width="18.109375" style="29" customWidth="1"/>
    <col min="11537" max="11537" width="19.88671875" style="29" customWidth="1"/>
    <col min="11538" max="11538" width="19.6640625" style="29" customWidth="1"/>
    <col min="11539" max="11545" width="18.109375" style="29" customWidth="1"/>
    <col min="11546" max="11774" width="8.88671875" style="29"/>
    <col min="11775" max="11775" width="45" style="29" customWidth="1"/>
    <col min="11776" max="11776" width="19.33203125" style="29" customWidth="1"/>
    <col min="11777" max="11777" width="19.44140625" style="29" customWidth="1"/>
    <col min="11778" max="11778" width="20.33203125" style="29" customWidth="1"/>
    <col min="11779" max="11779" width="18.6640625" style="29" customWidth="1"/>
    <col min="11780" max="11780" width="4" style="29" customWidth="1"/>
    <col min="11781" max="11781" width="12.5546875" style="29" customWidth="1"/>
    <col min="11782" max="11782" width="12.88671875" style="29" customWidth="1"/>
    <col min="11783" max="11784" width="11" style="29" customWidth="1"/>
    <col min="11785" max="11785" width="10.6640625" style="29" customWidth="1"/>
    <col min="11786" max="11786" width="10.5546875" style="29" customWidth="1"/>
    <col min="11787" max="11787" width="20" style="29" customWidth="1"/>
    <col min="11788" max="11788" width="23.109375" style="29" customWidth="1"/>
    <col min="11789" max="11789" width="18.109375" style="29" customWidth="1"/>
    <col min="11790" max="11790" width="32.44140625" style="29" customWidth="1"/>
    <col min="11791" max="11792" width="18.109375" style="29" customWidth="1"/>
    <col min="11793" max="11793" width="19.88671875" style="29" customWidth="1"/>
    <col min="11794" max="11794" width="19.6640625" style="29" customWidth="1"/>
    <col min="11795" max="11801" width="18.109375" style="29" customWidth="1"/>
    <col min="11802" max="12030" width="8.88671875" style="29"/>
    <col min="12031" max="12031" width="45" style="29" customWidth="1"/>
    <col min="12032" max="12032" width="19.33203125" style="29" customWidth="1"/>
    <col min="12033" max="12033" width="19.44140625" style="29" customWidth="1"/>
    <col min="12034" max="12034" width="20.33203125" style="29" customWidth="1"/>
    <col min="12035" max="12035" width="18.6640625" style="29" customWidth="1"/>
    <col min="12036" max="12036" width="4" style="29" customWidth="1"/>
    <col min="12037" max="12037" width="12.5546875" style="29" customWidth="1"/>
    <col min="12038" max="12038" width="12.88671875" style="29" customWidth="1"/>
    <col min="12039" max="12040" width="11" style="29" customWidth="1"/>
    <col min="12041" max="12041" width="10.6640625" style="29" customWidth="1"/>
    <col min="12042" max="12042" width="10.5546875" style="29" customWidth="1"/>
    <col min="12043" max="12043" width="20" style="29" customWidth="1"/>
    <col min="12044" max="12044" width="23.109375" style="29" customWidth="1"/>
    <col min="12045" max="12045" width="18.109375" style="29" customWidth="1"/>
    <col min="12046" max="12046" width="32.44140625" style="29" customWidth="1"/>
    <col min="12047" max="12048" width="18.109375" style="29" customWidth="1"/>
    <col min="12049" max="12049" width="19.88671875" style="29" customWidth="1"/>
    <col min="12050" max="12050" width="19.6640625" style="29" customWidth="1"/>
    <col min="12051" max="12057" width="18.109375" style="29" customWidth="1"/>
    <col min="12058" max="12286" width="8.88671875" style="29"/>
    <col min="12287" max="12287" width="45" style="29" customWidth="1"/>
    <col min="12288" max="12288" width="19.33203125" style="29" customWidth="1"/>
    <col min="12289" max="12289" width="19.44140625" style="29" customWidth="1"/>
    <col min="12290" max="12290" width="20.33203125" style="29" customWidth="1"/>
    <col min="12291" max="12291" width="18.6640625" style="29" customWidth="1"/>
    <col min="12292" max="12292" width="4" style="29" customWidth="1"/>
    <col min="12293" max="12293" width="12.5546875" style="29" customWidth="1"/>
    <col min="12294" max="12294" width="12.88671875" style="29" customWidth="1"/>
    <col min="12295" max="12296" width="11" style="29" customWidth="1"/>
    <col min="12297" max="12297" width="10.6640625" style="29" customWidth="1"/>
    <col min="12298" max="12298" width="10.5546875" style="29" customWidth="1"/>
    <col min="12299" max="12299" width="20" style="29" customWidth="1"/>
    <col min="12300" max="12300" width="23.109375" style="29" customWidth="1"/>
    <col min="12301" max="12301" width="18.109375" style="29" customWidth="1"/>
    <col min="12302" max="12302" width="32.44140625" style="29" customWidth="1"/>
    <col min="12303" max="12304" width="18.109375" style="29" customWidth="1"/>
    <col min="12305" max="12305" width="19.88671875" style="29" customWidth="1"/>
    <col min="12306" max="12306" width="19.6640625" style="29" customWidth="1"/>
    <col min="12307" max="12313" width="18.109375" style="29" customWidth="1"/>
    <col min="12314" max="12542" width="8.88671875" style="29"/>
    <col min="12543" max="12543" width="45" style="29" customWidth="1"/>
    <col min="12544" max="12544" width="19.33203125" style="29" customWidth="1"/>
    <col min="12545" max="12545" width="19.44140625" style="29" customWidth="1"/>
    <col min="12546" max="12546" width="20.33203125" style="29" customWidth="1"/>
    <col min="12547" max="12547" width="18.6640625" style="29" customWidth="1"/>
    <col min="12548" max="12548" width="4" style="29" customWidth="1"/>
    <col min="12549" max="12549" width="12.5546875" style="29" customWidth="1"/>
    <col min="12550" max="12550" width="12.88671875" style="29" customWidth="1"/>
    <col min="12551" max="12552" width="11" style="29" customWidth="1"/>
    <col min="12553" max="12553" width="10.6640625" style="29" customWidth="1"/>
    <col min="12554" max="12554" width="10.5546875" style="29" customWidth="1"/>
    <col min="12555" max="12555" width="20" style="29" customWidth="1"/>
    <col min="12556" max="12556" width="23.109375" style="29" customWidth="1"/>
    <col min="12557" max="12557" width="18.109375" style="29" customWidth="1"/>
    <col min="12558" max="12558" width="32.44140625" style="29" customWidth="1"/>
    <col min="12559" max="12560" width="18.109375" style="29" customWidth="1"/>
    <col min="12561" max="12561" width="19.88671875" style="29" customWidth="1"/>
    <col min="12562" max="12562" width="19.6640625" style="29" customWidth="1"/>
    <col min="12563" max="12569" width="18.109375" style="29" customWidth="1"/>
    <col min="12570" max="12798" width="8.88671875" style="29"/>
    <col min="12799" max="12799" width="45" style="29" customWidth="1"/>
    <col min="12800" max="12800" width="19.33203125" style="29" customWidth="1"/>
    <col min="12801" max="12801" width="19.44140625" style="29" customWidth="1"/>
    <col min="12802" max="12802" width="20.33203125" style="29" customWidth="1"/>
    <col min="12803" max="12803" width="18.6640625" style="29" customWidth="1"/>
    <col min="12804" max="12804" width="4" style="29" customWidth="1"/>
    <col min="12805" max="12805" width="12.5546875" style="29" customWidth="1"/>
    <col min="12806" max="12806" width="12.88671875" style="29" customWidth="1"/>
    <col min="12807" max="12808" width="11" style="29" customWidth="1"/>
    <col min="12809" max="12809" width="10.6640625" style="29" customWidth="1"/>
    <col min="12810" max="12810" width="10.5546875" style="29" customWidth="1"/>
    <col min="12811" max="12811" width="20" style="29" customWidth="1"/>
    <col min="12812" max="12812" width="23.109375" style="29" customWidth="1"/>
    <col min="12813" max="12813" width="18.109375" style="29" customWidth="1"/>
    <col min="12814" max="12814" width="32.44140625" style="29" customWidth="1"/>
    <col min="12815" max="12816" width="18.109375" style="29" customWidth="1"/>
    <col min="12817" max="12817" width="19.88671875" style="29" customWidth="1"/>
    <col min="12818" max="12818" width="19.6640625" style="29" customWidth="1"/>
    <col min="12819" max="12825" width="18.109375" style="29" customWidth="1"/>
    <col min="12826" max="13054" width="8.88671875" style="29"/>
    <col min="13055" max="13055" width="45" style="29" customWidth="1"/>
    <col min="13056" max="13056" width="19.33203125" style="29" customWidth="1"/>
    <col min="13057" max="13057" width="19.44140625" style="29" customWidth="1"/>
    <col min="13058" max="13058" width="20.33203125" style="29" customWidth="1"/>
    <col min="13059" max="13059" width="18.6640625" style="29" customWidth="1"/>
    <col min="13060" max="13060" width="4" style="29" customWidth="1"/>
    <col min="13061" max="13061" width="12.5546875" style="29" customWidth="1"/>
    <col min="13062" max="13062" width="12.88671875" style="29" customWidth="1"/>
    <col min="13063" max="13064" width="11" style="29" customWidth="1"/>
    <col min="13065" max="13065" width="10.6640625" style="29" customWidth="1"/>
    <col min="13066" max="13066" width="10.5546875" style="29" customWidth="1"/>
    <col min="13067" max="13067" width="20" style="29" customWidth="1"/>
    <col min="13068" max="13068" width="23.109375" style="29" customWidth="1"/>
    <col min="13069" max="13069" width="18.109375" style="29" customWidth="1"/>
    <col min="13070" max="13070" width="32.44140625" style="29" customWidth="1"/>
    <col min="13071" max="13072" width="18.109375" style="29" customWidth="1"/>
    <col min="13073" max="13073" width="19.88671875" style="29" customWidth="1"/>
    <col min="13074" max="13074" width="19.6640625" style="29" customWidth="1"/>
    <col min="13075" max="13081" width="18.109375" style="29" customWidth="1"/>
    <col min="13082" max="13310" width="8.88671875" style="29"/>
    <col min="13311" max="13311" width="45" style="29" customWidth="1"/>
    <col min="13312" max="13312" width="19.33203125" style="29" customWidth="1"/>
    <col min="13313" max="13313" width="19.44140625" style="29" customWidth="1"/>
    <col min="13314" max="13314" width="20.33203125" style="29" customWidth="1"/>
    <col min="13315" max="13315" width="18.6640625" style="29" customWidth="1"/>
    <col min="13316" max="13316" width="4" style="29" customWidth="1"/>
    <col min="13317" max="13317" width="12.5546875" style="29" customWidth="1"/>
    <col min="13318" max="13318" width="12.88671875" style="29" customWidth="1"/>
    <col min="13319" max="13320" width="11" style="29" customWidth="1"/>
    <col min="13321" max="13321" width="10.6640625" style="29" customWidth="1"/>
    <col min="13322" max="13322" width="10.5546875" style="29" customWidth="1"/>
    <col min="13323" max="13323" width="20" style="29" customWidth="1"/>
    <col min="13324" max="13324" width="23.109375" style="29" customWidth="1"/>
    <col min="13325" max="13325" width="18.109375" style="29" customWidth="1"/>
    <col min="13326" max="13326" width="32.44140625" style="29" customWidth="1"/>
    <col min="13327" max="13328" width="18.109375" style="29" customWidth="1"/>
    <col min="13329" max="13329" width="19.88671875" style="29" customWidth="1"/>
    <col min="13330" max="13330" width="19.6640625" style="29" customWidth="1"/>
    <col min="13331" max="13337" width="18.109375" style="29" customWidth="1"/>
    <col min="13338" max="13566" width="8.88671875" style="29"/>
    <col min="13567" max="13567" width="45" style="29" customWidth="1"/>
    <col min="13568" max="13568" width="19.33203125" style="29" customWidth="1"/>
    <col min="13569" max="13569" width="19.44140625" style="29" customWidth="1"/>
    <col min="13570" max="13570" width="20.33203125" style="29" customWidth="1"/>
    <col min="13571" max="13571" width="18.6640625" style="29" customWidth="1"/>
    <col min="13572" max="13572" width="4" style="29" customWidth="1"/>
    <col min="13573" max="13573" width="12.5546875" style="29" customWidth="1"/>
    <col min="13574" max="13574" width="12.88671875" style="29" customWidth="1"/>
    <col min="13575" max="13576" width="11" style="29" customWidth="1"/>
    <col min="13577" max="13577" width="10.6640625" style="29" customWidth="1"/>
    <col min="13578" max="13578" width="10.5546875" style="29" customWidth="1"/>
    <col min="13579" max="13579" width="20" style="29" customWidth="1"/>
    <col min="13580" max="13580" width="23.109375" style="29" customWidth="1"/>
    <col min="13581" max="13581" width="18.109375" style="29" customWidth="1"/>
    <col min="13582" max="13582" width="32.44140625" style="29" customWidth="1"/>
    <col min="13583" max="13584" width="18.109375" style="29" customWidth="1"/>
    <col min="13585" max="13585" width="19.88671875" style="29" customWidth="1"/>
    <col min="13586" max="13586" width="19.6640625" style="29" customWidth="1"/>
    <col min="13587" max="13593" width="18.109375" style="29" customWidth="1"/>
    <col min="13594" max="13822" width="8.88671875" style="29"/>
    <col min="13823" max="13823" width="45" style="29" customWidth="1"/>
    <col min="13824" max="13824" width="19.33203125" style="29" customWidth="1"/>
    <col min="13825" max="13825" width="19.44140625" style="29" customWidth="1"/>
    <col min="13826" max="13826" width="20.33203125" style="29" customWidth="1"/>
    <col min="13827" max="13827" width="18.6640625" style="29" customWidth="1"/>
    <col min="13828" max="13828" width="4" style="29" customWidth="1"/>
    <col min="13829" max="13829" width="12.5546875" style="29" customWidth="1"/>
    <col min="13830" max="13830" width="12.88671875" style="29" customWidth="1"/>
    <col min="13831" max="13832" width="11" style="29" customWidth="1"/>
    <col min="13833" max="13833" width="10.6640625" style="29" customWidth="1"/>
    <col min="13834" max="13834" width="10.5546875" style="29" customWidth="1"/>
    <col min="13835" max="13835" width="20" style="29" customWidth="1"/>
    <col min="13836" max="13836" width="23.109375" style="29" customWidth="1"/>
    <col min="13837" max="13837" width="18.109375" style="29" customWidth="1"/>
    <col min="13838" max="13838" width="32.44140625" style="29" customWidth="1"/>
    <col min="13839" max="13840" width="18.109375" style="29" customWidth="1"/>
    <col min="13841" max="13841" width="19.88671875" style="29" customWidth="1"/>
    <col min="13842" max="13842" width="19.6640625" style="29" customWidth="1"/>
    <col min="13843" max="13849" width="18.109375" style="29" customWidth="1"/>
    <col min="13850" max="14078" width="8.88671875" style="29"/>
    <col min="14079" max="14079" width="45" style="29" customWidth="1"/>
    <col min="14080" max="14080" width="19.33203125" style="29" customWidth="1"/>
    <col min="14081" max="14081" width="19.44140625" style="29" customWidth="1"/>
    <col min="14082" max="14082" width="20.33203125" style="29" customWidth="1"/>
    <col min="14083" max="14083" width="18.6640625" style="29" customWidth="1"/>
    <col min="14084" max="14084" width="4" style="29" customWidth="1"/>
    <col min="14085" max="14085" width="12.5546875" style="29" customWidth="1"/>
    <col min="14086" max="14086" width="12.88671875" style="29" customWidth="1"/>
    <col min="14087" max="14088" width="11" style="29" customWidth="1"/>
    <col min="14089" max="14089" width="10.6640625" style="29" customWidth="1"/>
    <col min="14090" max="14090" width="10.5546875" style="29" customWidth="1"/>
    <col min="14091" max="14091" width="20" style="29" customWidth="1"/>
    <col min="14092" max="14092" width="23.109375" style="29" customWidth="1"/>
    <col min="14093" max="14093" width="18.109375" style="29" customWidth="1"/>
    <col min="14094" max="14094" width="32.44140625" style="29" customWidth="1"/>
    <col min="14095" max="14096" width="18.109375" style="29" customWidth="1"/>
    <col min="14097" max="14097" width="19.88671875" style="29" customWidth="1"/>
    <col min="14098" max="14098" width="19.6640625" style="29" customWidth="1"/>
    <col min="14099" max="14105" width="18.109375" style="29" customWidth="1"/>
    <col min="14106" max="14334" width="8.88671875" style="29"/>
    <col min="14335" max="14335" width="45" style="29" customWidth="1"/>
    <col min="14336" max="14336" width="19.33203125" style="29" customWidth="1"/>
    <col min="14337" max="14337" width="19.44140625" style="29" customWidth="1"/>
    <col min="14338" max="14338" width="20.33203125" style="29" customWidth="1"/>
    <col min="14339" max="14339" width="18.6640625" style="29" customWidth="1"/>
    <col min="14340" max="14340" width="4" style="29" customWidth="1"/>
    <col min="14341" max="14341" width="12.5546875" style="29" customWidth="1"/>
    <col min="14342" max="14342" width="12.88671875" style="29" customWidth="1"/>
    <col min="14343" max="14344" width="11" style="29" customWidth="1"/>
    <col min="14345" max="14345" width="10.6640625" style="29" customWidth="1"/>
    <col min="14346" max="14346" width="10.5546875" style="29" customWidth="1"/>
    <col min="14347" max="14347" width="20" style="29" customWidth="1"/>
    <col min="14348" max="14348" width="23.109375" style="29" customWidth="1"/>
    <col min="14349" max="14349" width="18.109375" style="29" customWidth="1"/>
    <col min="14350" max="14350" width="32.44140625" style="29" customWidth="1"/>
    <col min="14351" max="14352" width="18.109375" style="29" customWidth="1"/>
    <col min="14353" max="14353" width="19.88671875" style="29" customWidth="1"/>
    <col min="14354" max="14354" width="19.6640625" style="29" customWidth="1"/>
    <col min="14355" max="14361" width="18.109375" style="29" customWidth="1"/>
    <col min="14362" max="14590" width="8.88671875" style="29"/>
    <col min="14591" max="14591" width="45" style="29" customWidth="1"/>
    <col min="14592" max="14592" width="19.33203125" style="29" customWidth="1"/>
    <col min="14593" max="14593" width="19.44140625" style="29" customWidth="1"/>
    <col min="14594" max="14594" width="20.33203125" style="29" customWidth="1"/>
    <col min="14595" max="14595" width="18.6640625" style="29" customWidth="1"/>
    <col min="14596" max="14596" width="4" style="29" customWidth="1"/>
    <col min="14597" max="14597" width="12.5546875" style="29" customWidth="1"/>
    <col min="14598" max="14598" width="12.88671875" style="29" customWidth="1"/>
    <col min="14599" max="14600" width="11" style="29" customWidth="1"/>
    <col min="14601" max="14601" width="10.6640625" style="29" customWidth="1"/>
    <col min="14602" max="14602" width="10.5546875" style="29" customWidth="1"/>
    <col min="14603" max="14603" width="20" style="29" customWidth="1"/>
    <col min="14604" max="14604" width="23.109375" style="29" customWidth="1"/>
    <col min="14605" max="14605" width="18.109375" style="29" customWidth="1"/>
    <col min="14606" max="14606" width="32.44140625" style="29" customWidth="1"/>
    <col min="14607" max="14608" width="18.109375" style="29" customWidth="1"/>
    <col min="14609" max="14609" width="19.88671875" style="29" customWidth="1"/>
    <col min="14610" max="14610" width="19.6640625" style="29" customWidth="1"/>
    <col min="14611" max="14617" width="18.109375" style="29" customWidth="1"/>
    <col min="14618" max="14846" width="8.88671875" style="29"/>
    <col min="14847" max="14847" width="45" style="29" customWidth="1"/>
    <col min="14848" max="14848" width="19.33203125" style="29" customWidth="1"/>
    <col min="14849" max="14849" width="19.44140625" style="29" customWidth="1"/>
    <col min="14850" max="14850" width="20.33203125" style="29" customWidth="1"/>
    <col min="14851" max="14851" width="18.6640625" style="29" customWidth="1"/>
    <col min="14852" max="14852" width="4" style="29" customWidth="1"/>
    <col min="14853" max="14853" width="12.5546875" style="29" customWidth="1"/>
    <col min="14854" max="14854" width="12.88671875" style="29" customWidth="1"/>
    <col min="14855" max="14856" width="11" style="29" customWidth="1"/>
    <col min="14857" max="14857" width="10.6640625" style="29" customWidth="1"/>
    <col min="14858" max="14858" width="10.5546875" style="29" customWidth="1"/>
    <col min="14859" max="14859" width="20" style="29" customWidth="1"/>
    <col min="14860" max="14860" width="23.109375" style="29" customWidth="1"/>
    <col min="14861" max="14861" width="18.109375" style="29" customWidth="1"/>
    <col min="14862" max="14862" width="32.44140625" style="29" customWidth="1"/>
    <col min="14863" max="14864" width="18.109375" style="29" customWidth="1"/>
    <col min="14865" max="14865" width="19.88671875" style="29" customWidth="1"/>
    <col min="14866" max="14866" width="19.6640625" style="29" customWidth="1"/>
    <col min="14867" max="14873" width="18.109375" style="29" customWidth="1"/>
    <col min="14874" max="15102" width="8.88671875" style="29"/>
    <col min="15103" max="15103" width="45" style="29" customWidth="1"/>
    <col min="15104" max="15104" width="19.33203125" style="29" customWidth="1"/>
    <col min="15105" max="15105" width="19.44140625" style="29" customWidth="1"/>
    <col min="15106" max="15106" width="20.33203125" style="29" customWidth="1"/>
    <col min="15107" max="15107" width="18.6640625" style="29" customWidth="1"/>
    <col min="15108" max="15108" width="4" style="29" customWidth="1"/>
    <col min="15109" max="15109" width="12.5546875" style="29" customWidth="1"/>
    <col min="15110" max="15110" width="12.88671875" style="29" customWidth="1"/>
    <col min="15111" max="15112" width="11" style="29" customWidth="1"/>
    <col min="15113" max="15113" width="10.6640625" style="29" customWidth="1"/>
    <col min="15114" max="15114" width="10.5546875" style="29" customWidth="1"/>
    <col min="15115" max="15115" width="20" style="29" customWidth="1"/>
    <col min="15116" max="15116" width="23.109375" style="29" customWidth="1"/>
    <col min="15117" max="15117" width="18.109375" style="29" customWidth="1"/>
    <col min="15118" max="15118" width="32.44140625" style="29" customWidth="1"/>
    <col min="15119" max="15120" width="18.109375" style="29" customWidth="1"/>
    <col min="15121" max="15121" width="19.88671875" style="29" customWidth="1"/>
    <col min="15122" max="15122" width="19.6640625" style="29" customWidth="1"/>
    <col min="15123" max="15129" width="18.109375" style="29" customWidth="1"/>
    <col min="15130" max="15358" width="8.88671875" style="29"/>
    <col min="15359" max="15359" width="45" style="29" customWidth="1"/>
    <col min="15360" max="15360" width="19.33203125" style="29" customWidth="1"/>
    <col min="15361" max="15361" width="19.44140625" style="29" customWidth="1"/>
    <col min="15362" max="15362" width="20.33203125" style="29" customWidth="1"/>
    <col min="15363" max="15363" width="18.6640625" style="29" customWidth="1"/>
    <col min="15364" max="15364" width="4" style="29" customWidth="1"/>
    <col min="15365" max="15365" width="12.5546875" style="29" customWidth="1"/>
    <col min="15366" max="15366" width="12.88671875" style="29" customWidth="1"/>
    <col min="15367" max="15368" width="11" style="29" customWidth="1"/>
    <col min="15369" max="15369" width="10.6640625" style="29" customWidth="1"/>
    <col min="15370" max="15370" width="10.5546875" style="29" customWidth="1"/>
    <col min="15371" max="15371" width="20" style="29" customWidth="1"/>
    <col min="15372" max="15372" width="23.109375" style="29" customWidth="1"/>
    <col min="15373" max="15373" width="18.109375" style="29" customWidth="1"/>
    <col min="15374" max="15374" width="32.44140625" style="29" customWidth="1"/>
    <col min="15375" max="15376" width="18.109375" style="29" customWidth="1"/>
    <col min="15377" max="15377" width="19.88671875" style="29" customWidth="1"/>
    <col min="15378" max="15378" width="19.6640625" style="29" customWidth="1"/>
    <col min="15379" max="15385" width="18.109375" style="29" customWidth="1"/>
    <col min="15386" max="15614" width="8.88671875" style="29"/>
    <col min="15615" max="15615" width="45" style="29" customWidth="1"/>
    <col min="15616" max="15616" width="19.33203125" style="29" customWidth="1"/>
    <col min="15617" max="15617" width="19.44140625" style="29" customWidth="1"/>
    <col min="15618" max="15618" width="20.33203125" style="29" customWidth="1"/>
    <col min="15619" max="15619" width="18.6640625" style="29" customWidth="1"/>
    <col min="15620" max="15620" width="4" style="29" customWidth="1"/>
    <col min="15621" max="15621" width="12.5546875" style="29" customWidth="1"/>
    <col min="15622" max="15622" width="12.88671875" style="29" customWidth="1"/>
    <col min="15623" max="15624" width="11" style="29" customWidth="1"/>
    <col min="15625" max="15625" width="10.6640625" style="29" customWidth="1"/>
    <col min="15626" max="15626" width="10.5546875" style="29" customWidth="1"/>
    <col min="15627" max="15627" width="20" style="29" customWidth="1"/>
    <col min="15628" max="15628" width="23.109375" style="29" customWidth="1"/>
    <col min="15629" max="15629" width="18.109375" style="29" customWidth="1"/>
    <col min="15630" max="15630" width="32.44140625" style="29" customWidth="1"/>
    <col min="15631" max="15632" width="18.109375" style="29" customWidth="1"/>
    <col min="15633" max="15633" width="19.88671875" style="29" customWidth="1"/>
    <col min="15634" max="15634" width="19.6640625" style="29" customWidth="1"/>
    <col min="15635" max="15641" width="18.109375" style="29" customWidth="1"/>
    <col min="15642" max="15870" width="8.88671875" style="29"/>
    <col min="15871" max="15871" width="45" style="29" customWidth="1"/>
    <col min="15872" max="15872" width="19.33203125" style="29" customWidth="1"/>
    <col min="15873" max="15873" width="19.44140625" style="29" customWidth="1"/>
    <col min="15874" max="15874" width="20.33203125" style="29" customWidth="1"/>
    <col min="15875" max="15875" width="18.6640625" style="29" customWidth="1"/>
    <col min="15876" max="15876" width="4" style="29" customWidth="1"/>
    <col min="15877" max="15877" width="12.5546875" style="29" customWidth="1"/>
    <col min="15878" max="15878" width="12.88671875" style="29" customWidth="1"/>
    <col min="15879" max="15880" width="11" style="29" customWidth="1"/>
    <col min="15881" max="15881" width="10.6640625" style="29" customWidth="1"/>
    <col min="15882" max="15882" width="10.5546875" style="29" customWidth="1"/>
    <col min="15883" max="15883" width="20" style="29" customWidth="1"/>
    <col min="15884" max="15884" width="23.109375" style="29" customWidth="1"/>
    <col min="15885" max="15885" width="18.109375" style="29" customWidth="1"/>
    <col min="15886" max="15886" width="32.44140625" style="29" customWidth="1"/>
    <col min="15887" max="15888" width="18.109375" style="29" customWidth="1"/>
    <col min="15889" max="15889" width="19.88671875" style="29" customWidth="1"/>
    <col min="15890" max="15890" width="19.6640625" style="29" customWidth="1"/>
    <col min="15891" max="15897" width="18.109375" style="29" customWidth="1"/>
    <col min="15898" max="16126" width="8.88671875" style="29"/>
    <col min="16127" max="16127" width="45" style="29" customWidth="1"/>
    <col min="16128" max="16128" width="19.33203125" style="29" customWidth="1"/>
    <col min="16129" max="16129" width="19.44140625" style="29" customWidth="1"/>
    <col min="16130" max="16130" width="20.33203125" style="29" customWidth="1"/>
    <col min="16131" max="16131" width="18.6640625" style="29" customWidth="1"/>
    <col min="16132" max="16132" width="4" style="29" customWidth="1"/>
    <col min="16133" max="16133" width="12.5546875" style="29" customWidth="1"/>
    <col min="16134" max="16134" width="12.88671875" style="29" customWidth="1"/>
    <col min="16135" max="16136" width="11" style="29" customWidth="1"/>
    <col min="16137" max="16137" width="10.6640625" style="29" customWidth="1"/>
    <col min="16138" max="16138" width="10.5546875" style="29" customWidth="1"/>
    <col min="16139" max="16139" width="20" style="29" customWidth="1"/>
    <col min="16140" max="16140" width="23.109375" style="29" customWidth="1"/>
    <col min="16141" max="16141" width="18.109375" style="29" customWidth="1"/>
    <col min="16142" max="16142" width="32.44140625" style="29" customWidth="1"/>
    <col min="16143" max="16144" width="18.109375" style="29" customWidth="1"/>
    <col min="16145" max="16145" width="19.88671875" style="29" customWidth="1"/>
    <col min="16146" max="16146" width="19.6640625" style="29" customWidth="1"/>
    <col min="16147" max="16153" width="18.109375" style="29" customWidth="1"/>
    <col min="16154" max="16384" width="8.88671875" style="29"/>
  </cols>
  <sheetData>
    <row r="1" spans="1:18" ht="23.4" thickBot="1" x14ac:dyDescent="0.45">
      <c r="A1" s="27" t="s">
        <v>82</v>
      </c>
      <c r="B1" s="28"/>
    </row>
    <row r="4" spans="1:18" ht="13.8" thickBot="1" x14ac:dyDescent="0.3"/>
    <row r="5" spans="1:18" ht="18" thickBot="1" x14ac:dyDescent="0.35">
      <c r="A5" s="30"/>
      <c r="D5" s="31" t="s">
        <v>83</v>
      </c>
      <c r="E5" s="32"/>
      <c r="G5" s="33">
        <v>350</v>
      </c>
      <c r="H5" s="34" t="s">
        <v>84</v>
      </c>
      <c r="L5" s="29">
        <v>1</v>
      </c>
    </row>
    <row r="6" spans="1:18" ht="16.2" thickBot="1" x14ac:dyDescent="0.35">
      <c r="K6" s="23" t="s">
        <v>65</v>
      </c>
      <c r="L6" s="24" t="s">
        <v>85</v>
      </c>
    </row>
    <row r="7" spans="1:18" ht="16.2" thickBot="1" x14ac:dyDescent="0.35">
      <c r="D7" s="35" t="s">
        <v>86</v>
      </c>
      <c r="E7" s="36"/>
      <c r="K7" s="12" t="s">
        <v>64</v>
      </c>
      <c r="L7" s="25" t="s">
        <v>87</v>
      </c>
    </row>
    <row r="8" spans="1:18" ht="13.8" thickBot="1" x14ac:dyDescent="0.3">
      <c r="D8" s="37" t="s">
        <v>88</v>
      </c>
      <c r="E8" s="38" t="s">
        <v>89</v>
      </c>
      <c r="K8" s="22" t="s">
        <v>63</v>
      </c>
      <c r="L8" s="21">
        <v>1</v>
      </c>
      <c r="O8" s="39"/>
    </row>
    <row r="9" spans="1:18" ht="18" thickBot="1" x14ac:dyDescent="0.35">
      <c r="B9" s="40" t="s">
        <v>90</v>
      </c>
      <c r="C9" s="40"/>
      <c r="D9" s="41">
        <v>2</v>
      </c>
      <c r="E9" s="42">
        <v>35</v>
      </c>
      <c r="G9" s="33">
        <f>E9*D9</f>
        <v>70</v>
      </c>
      <c r="H9" s="34" t="s">
        <v>91</v>
      </c>
      <c r="K9" s="14" t="s">
        <v>62</v>
      </c>
      <c r="L9" s="13">
        <v>1.1000000000000001</v>
      </c>
      <c r="N9" s="134" t="s">
        <v>92</v>
      </c>
      <c r="O9" s="136"/>
      <c r="Q9" s="133" t="s">
        <v>93</v>
      </c>
      <c r="R9" s="133"/>
    </row>
    <row r="10" spans="1:18" ht="15.6" x14ac:dyDescent="0.3">
      <c r="K10" s="14" t="s">
        <v>61</v>
      </c>
      <c r="L10" s="13">
        <v>1</v>
      </c>
      <c r="N10" s="43">
        <v>1000000</v>
      </c>
      <c r="O10" s="44">
        <v>1</v>
      </c>
      <c r="Q10" s="45"/>
      <c r="R10" s="19" t="s">
        <v>85</v>
      </c>
    </row>
    <row r="11" spans="1:18" ht="13.8" thickBot="1" x14ac:dyDescent="0.3">
      <c r="B11" s="40" t="s">
        <v>94</v>
      </c>
      <c r="K11" s="14" t="s">
        <v>60</v>
      </c>
      <c r="L11" s="13">
        <v>1</v>
      </c>
      <c r="N11" s="46">
        <f t="shared" ref="N11:N19" si="0">1000000+N10</f>
        <v>2000000</v>
      </c>
      <c r="O11" s="47">
        <f>$O$10+(N11-$N$10)/$N$10*0.5</f>
        <v>1.5</v>
      </c>
      <c r="Q11" s="12" t="s">
        <v>64</v>
      </c>
      <c r="R11" s="18" t="s">
        <v>95</v>
      </c>
    </row>
    <row r="12" spans="1:18" ht="16.2" thickBot="1" x14ac:dyDescent="0.35">
      <c r="A12" s="48"/>
      <c r="B12" s="35" t="s">
        <v>96</v>
      </c>
      <c r="C12" s="49"/>
      <c r="D12" s="35" t="s">
        <v>153</v>
      </c>
      <c r="E12" s="49"/>
      <c r="K12" s="14" t="s">
        <v>59</v>
      </c>
      <c r="L12" s="13">
        <v>1.2</v>
      </c>
      <c r="N12" s="46">
        <f t="shared" si="0"/>
        <v>3000000</v>
      </c>
      <c r="O12" s="47">
        <f t="shared" ref="O12:O19" si="1">$O$10+(N12-$N$10)/$N$10*0.5</f>
        <v>2</v>
      </c>
      <c r="Q12" s="22" t="s">
        <v>63</v>
      </c>
      <c r="R12" s="21">
        <v>0.9</v>
      </c>
    </row>
    <row r="13" spans="1:18" ht="13.8" thickBot="1" x14ac:dyDescent="0.3">
      <c r="A13" s="50" t="s">
        <v>97</v>
      </c>
      <c r="B13" s="51" t="s">
        <v>98</v>
      </c>
      <c r="C13" s="52" t="s">
        <v>99</v>
      </c>
      <c r="D13" s="51" t="s">
        <v>98</v>
      </c>
      <c r="E13" s="52" t="s">
        <v>99</v>
      </c>
      <c r="G13" s="53" t="s">
        <v>89</v>
      </c>
      <c r="K13" s="14" t="s">
        <v>58</v>
      </c>
      <c r="L13" s="13">
        <v>1</v>
      </c>
      <c r="N13" s="46">
        <f t="shared" si="0"/>
        <v>4000000</v>
      </c>
      <c r="O13" s="47">
        <f t="shared" si="1"/>
        <v>2.5</v>
      </c>
      <c r="Q13" s="14" t="s">
        <v>62</v>
      </c>
      <c r="R13" s="13">
        <v>0.9</v>
      </c>
    </row>
    <row r="14" spans="1:18" ht="13.8" thickBot="1" x14ac:dyDescent="0.3">
      <c r="A14" s="54" t="s">
        <v>100</v>
      </c>
      <c r="B14" s="55">
        <v>1</v>
      </c>
      <c r="C14" s="56">
        <v>2</v>
      </c>
      <c r="D14" s="57">
        <v>35</v>
      </c>
      <c r="E14" s="58">
        <f>+D14*1.5</f>
        <v>52.5</v>
      </c>
      <c r="G14" s="58">
        <f t="shared" ref="G14:G19" si="2">B14*D14+C14*E14</f>
        <v>140</v>
      </c>
      <c r="K14" s="14" t="s">
        <v>57</v>
      </c>
      <c r="L14" s="13">
        <v>1</v>
      </c>
      <c r="N14" s="59">
        <f t="shared" si="0"/>
        <v>5000000</v>
      </c>
      <c r="O14" s="60">
        <f t="shared" si="1"/>
        <v>3</v>
      </c>
      <c r="Q14" s="14" t="s">
        <v>61</v>
      </c>
      <c r="R14" s="13">
        <v>0.9</v>
      </c>
    </row>
    <row r="15" spans="1:18" ht="13.8" thickBot="1" x14ac:dyDescent="0.3">
      <c r="A15" s="54" t="s">
        <v>101</v>
      </c>
      <c r="B15" s="61">
        <v>0</v>
      </c>
      <c r="C15" s="62">
        <v>0</v>
      </c>
      <c r="D15" s="63">
        <v>35</v>
      </c>
      <c r="E15" s="64">
        <f>+D15*1.5</f>
        <v>52.5</v>
      </c>
      <c r="G15" s="58">
        <f t="shared" si="2"/>
        <v>0</v>
      </c>
      <c r="K15" s="14" t="s">
        <v>56</v>
      </c>
      <c r="L15" s="13">
        <v>1</v>
      </c>
      <c r="N15" s="46">
        <f t="shared" si="0"/>
        <v>6000000</v>
      </c>
      <c r="O15" s="47">
        <f t="shared" si="1"/>
        <v>3.5</v>
      </c>
      <c r="Q15" s="14" t="s">
        <v>60</v>
      </c>
      <c r="R15" s="13">
        <v>0.9</v>
      </c>
    </row>
    <row r="16" spans="1:18" ht="13.8" thickBot="1" x14ac:dyDescent="0.3">
      <c r="A16" s="54" t="s">
        <v>102</v>
      </c>
      <c r="B16" s="61">
        <v>0</v>
      </c>
      <c r="C16" s="62">
        <v>0</v>
      </c>
      <c r="D16" s="63">
        <v>40</v>
      </c>
      <c r="E16" s="64">
        <f>+D16*1.5</f>
        <v>60</v>
      </c>
      <c r="G16" s="58">
        <f t="shared" si="2"/>
        <v>0</v>
      </c>
      <c r="K16" s="14" t="s">
        <v>55</v>
      </c>
      <c r="L16" s="13">
        <v>1</v>
      </c>
      <c r="N16" s="46">
        <f t="shared" si="0"/>
        <v>7000000</v>
      </c>
      <c r="O16" s="47">
        <f t="shared" si="1"/>
        <v>4</v>
      </c>
      <c r="Q16" s="14" t="s">
        <v>59</v>
      </c>
      <c r="R16" s="13">
        <v>0.9</v>
      </c>
    </row>
    <row r="17" spans="1:18" ht="13.8" thickBot="1" x14ac:dyDescent="0.3">
      <c r="A17" s="54" t="s">
        <v>103</v>
      </c>
      <c r="B17" s="61"/>
      <c r="C17" s="62"/>
      <c r="D17" s="63">
        <v>150</v>
      </c>
      <c r="E17" s="64">
        <f>+D17*2</f>
        <v>300</v>
      </c>
      <c r="G17" s="58">
        <f t="shared" si="2"/>
        <v>0</v>
      </c>
      <c r="K17" s="14" t="s">
        <v>54</v>
      </c>
      <c r="L17" s="13">
        <v>1.1000000000000001</v>
      </c>
      <c r="N17" s="46">
        <f t="shared" si="0"/>
        <v>8000000</v>
      </c>
      <c r="O17" s="47">
        <f t="shared" si="1"/>
        <v>4.5</v>
      </c>
      <c r="Q17" s="14" t="s">
        <v>58</v>
      </c>
      <c r="R17" s="13">
        <v>0.9</v>
      </c>
    </row>
    <row r="18" spans="1:18" ht="13.8" thickBot="1" x14ac:dyDescent="0.3">
      <c r="A18" s="54" t="s">
        <v>104</v>
      </c>
      <c r="B18" s="61"/>
      <c r="C18" s="62"/>
      <c r="D18" s="63">
        <v>180</v>
      </c>
      <c r="E18" s="64">
        <f>+D18*2</f>
        <v>360</v>
      </c>
      <c r="G18" s="58">
        <f t="shared" si="2"/>
        <v>0</v>
      </c>
      <c r="K18" s="14" t="s">
        <v>53</v>
      </c>
      <c r="L18" s="13">
        <v>1</v>
      </c>
      <c r="N18" s="46">
        <f t="shared" si="0"/>
        <v>9000000</v>
      </c>
      <c r="O18" s="47">
        <f t="shared" si="1"/>
        <v>5</v>
      </c>
      <c r="Q18" s="14" t="s">
        <v>57</v>
      </c>
      <c r="R18" s="13">
        <v>0.9</v>
      </c>
    </row>
    <row r="19" spans="1:18" ht="13.8" thickBot="1" x14ac:dyDescent="0.3">
      <c r="A19" s="54" t="s">
        <v>105</v>
      </c>
      <c r="B19" s="65"/>
      <c r="C19" s="66"/>
      <c r="D19" s="67">
        <v>180</v>
      </c>
      <c r="E19" s="68">
        <f>+D19*2</f>
        <v>360</v>
      </c>
      <c r="G19" s="69">
        <f t="shared" si="2"/>
        <v>0</v>
      </c>
      <c r="K19" s="14" t="s">
        <v>52</v>
      </c>
      <c r="L19" s="13">
        <v>1.2</v>
      </c>
      <c r="N19" s="70">
        <f t="shared" si="0"/>
        <v>10000000</v>
      </c>
      <c r="O19" s="71">
        <f t="shared" si="1"/>
        <v>5.5</v>
      </c>
      <c r="Q19" s="14" t="s">
        <v>56</v>
      </c>
      <c r="R19" s="13">
        <v>0.9</v>
      </c>
    </row>
    <row r="20" spans="1:18" ht="13.8" thickBot="1" x14ac:dyDescent="0.3">
      <c r="K20" s="14" t="s">
        <v>51</v>
      </c>
      <c r="L20" s="13">
        <v>1</v>
      </c>
      <c r="Q20" s="14" t="s">
        <v>55</v>
      </c>
      <c r="R20" s="13">
        <v>0.9</v>
      </c>
    </row>
    <row r="21" spans="1:18" ht="18" thickBot="1" x14ac:dyDescent="0.35">
      <c r="C21" s="72"/>
      <c r="D21" s="73" t="s">
        <v>106</v>
      </c>
      <c r="G21" s="74">
        <f>SUM(G14:G19)</f>
        <v>140</v>
      </c>
      <c r="H21" s="34" t="s">
        <v>107</v>
      </c>
      <c r="K21" s="14" t="s">
        <v>50</v>
      </c>
      <c r="L21" s="13">
        <v>1</v>
      </c>
      <c r="N21" s="39"/>
      <c r="O21" s="39"/>
      <c r="Q21" s="14" t="s">
        <v>54</v>
      </c>
      <c r="R21" s="13">
        <v>0.9</v>
      </c>
    </row>
    <row r="22" spans="1:18" ht="16.2" thickBot="1" x14ac:dyDescent="0.35">
      <c r="K22" s="14" t="s">
        <v>49</v>
      </c>
      <c r="L22" s="13">
        <v>1.1000000000000001</v>
      </c>
      <c r="N22" s="134" t="s">
        <v>108</v>
      </c>
      <c r="O22" s="135"/>
      <c r="Q22" s="14" t="s">
        <v>53</v>
      </c>
      <c r="R22" s="13">
        <v>0.9</v>
      </c>
    </row>
    <row r="23" spans="1:18" ht="21" thickBot="1" x14ac:dyDescent="0.4">
      <c r="D23" s="75" t="s">
        <v>109</v>
      </c>
      <c r="E23" s="76"/>
      <c r="G23" s="77">
        <f>+G21+G9+G5</f>
        <v>560</v>
      </c>
      <c r="H23" s="34" t="s">
        <v>109</v>
      </c>
      <c r="K23" s="14" t="s">
        <v>48</v>
      </c>
      <c r="L23" s="13">
        <v>1</v>
      </c>
      <c r="N23" s="78" t="s">
        <v>110</v>
      </c>
      <c r="O23" s="44">
        <v>1.1000000000000001</v>
      </c>
      <c r="Q23" s="14" t="s">
        <v>52</v>
      </c>
      <c r="R23" s="13">
        <v>0.9</v>
      </c>
    </row>
    <row r="24" spans="1:18" ht="13.8" thickBot="1" x14ac:dyDescent="0.3">
      <c r="K24" s="14" t="s">
        <v>47</v>
      </c>
      <c r="L24" s="13">
        <v>1</v>
      </c>
      <c r="N24" s="79">
        <v>10000</v>
      </c>
      <c r="O24" s="80">
        <v>1</v>
      </c>
      <c r="Q24" s="14" t="s">
        <v>51</v>
      </c>
      <c r="R24" s="13">
        <v>0.9</v>
      </c>
    </row>
    <row r="25" spans="1:18" ht="13.8" thickBot="1" x14ac:dyDescent="0.3">
      <c r="K25" s="14" t="s">
        <v>46</v>
      </c>
      <c r="L25" s="13">
        <v>1</v>
      </c>
      <c r="Q25" s="14" t="s">
        <v>50</v>
      </c>
      <c r="R25" s="13">
        <v>0.9</v>
      </c>
    </row>
    <row r="26" spans="1:18" ht="16.2" thickBot="1" x14ac:dyDescent="0.35">
      <c r="A26" s="81" t="s">
        <v>111</v>
      </c>
      <c r="B26" s="82" t="s">
        <v>36</v>
      </c>
      <c r="C26" s="83" t="s">
        <v>112</v>
      </c>
      <c r="G26" s="84">
        <f>VLOOKUP(B26,K8:L59,2)</f>
        <v>1</v>
      </c>
      <c r="K26" s="14" t="s">
        <v>45</v>
      </c>
      <c r="L26" s="13">
        <v>1</v>
      </c>
      <c r="N26" s="133" t="s">
        <v>113</v>
      </c>
      <c r="O26" s="133"/>
      <c r="Q26" s="14" t="s">
        <v>49</v>
      </c>
      <c r="R26" s="13">
        <v>0.9</v>
      </c>
    </row>
    <row r="27" spans="1:18" ht="13.8" thickBot="1" x14ac:dyDescent="0.3">
      <c r="A27" s="85"/>
      <c r="B27" s="86" t="e">
        <f>VLOOKUP(#REF!,#REF!,2)</f>
        <v>#REF!</v>
      </c>
      <c r="G27" s="87"/>
      <c r="K27" s="14" t="s">
        <v>44</v>
      </c>
      <c r="L27" s="13">
        <v>1</v>
      </c>
      <c r="N27" s="20" t="s">
        <v>114</v>
      </c>
      <c r="O27" s="19" t="s">
        <v>115</v>
      </c>
      <c r="Q27" s="14" t="s">
        <v>48</v>
      </c>
      <c r="R27" s="13">
        <v>0.9</v>
      </c>
    </row>
    <row r="28" spans="1:18" ht="13.8" thickBot="1" x14ac:dyDescent="0.3">
      <c r="A28" s="81" t="s">
        <v>0</v>
      </c>
      <c r="B28" s="88" t="s">
        <v>28</v>
      </c>
      <c r="C28" s="83" t="s">
        <v>112</v>
      </c>
      <c r="G28" s="84">
        <f>VLOOKUP(B28,N46:O50,2)</f>
        <v>1.28</v>
      </c>
      <c r="K28" s="14" t="s">
        <v>43</v>
      </c>
      <c r="L28" s="13">
        <v>1</v>
      </c>
      <c r="N28" s="2" t="s">
        <v>116</v>
      </c>
      <c r="O28" s="18" t="s">
        <v>95</v>
      </c>
      <c r="Q28" s="14" t="s">
        <v>47</v>
      </c>
      <c r="R28" s="13">
        <v>0.9</v>
      </c>
    </row>
    <row r="29" spans="1:18" ht="13.8" thickBot="1" x14ac:dyDescent="0.3">
      <c r="G29" s="87"/>
      <c r="K29" s="14" t="s">
        <v>42</v>
      </c>
      <c r="L29" s="13">
        <v>1</v>
      </c>
      <c r="N29" s="89">
        <v>1</v>
      </c>
      <c r="O29" s="90">
        <v>0.5</v>
      </c>
      <c r="Q29" s="14" t="s">
        <v>46</v>
      </c>
      <c r="R29" s="13">
        <v>0.9</v>
      </c>
    </row>
    <row r="30" spans="1:18" ht="13.8" thickBot="1" x14ac:dyDescent="0.3">
      <c r="A30" s="81" t="s">
        <v>117</v>
      </c>
      <c r="B30" s="88">
        <v>10</v>
      </c>
      <c r="C30" s="83" t="s">
        <v>112</v>
      </c>
      <c r="G30" s="84">
        <f>VLOOKUP(B30,N29:O38,2)</f>
        <v>1.5</v>
      </c>
      <c r="K30" s="14" t="s">
        <v>41</v>
      </c>
      <c r="L30" s="13">
        <v>1</v>
      </c>
      <c r="N30" s="4">
        <f>N29+1</f>
        <v>2</v>
      </c>
      <c r="O30" s="90">
        <v>0.65</v>
      </c>
      <c r="Q30" s="14" t="s">
        <v>45</v>
      </c>
      <c r="R30" s="13">
        <v>0.9</v>
      </c>
    </row>
    <row r="31" spans="1:18" x14ac:dyDescent="0.25">
      <c r="A31" s="81"/>
      <c r="B31" s="91"/>
      <c r="G31" s="87"/>
      <c r="K31" s="14" t="s">
        <v>40</v>
      </c>
      <c r="L31" s="13">
        <v>1</v>
      </c>
      <c r="N31" s="4">
        <f t="shared" ref="N31:N38" si="3">N30+1</f>
        <v>3</v>
      </c>
      <c r="O31" s="90">
        <v>0.78</v>
      </c>
      <c r="Q31" s="14" t="s">
        <v>44</v>
      </c>
      <c r="R31" s="13">
        <v>0.9</v>
      </c>
    </row>
    <row r="32" spans="1:18" x14ac:dyDescent="0.25">
      <c r="K32" s="14" t="s">
        <v>39</v>
      </c>
      <c r="L32" s="13">
        <v>1</v>
      </c>
      <c r="N32" s="4">
        <f t="shared" si="3"/>
        <v>4</v>
      </c>
      <c r="O32" s="90">
        <v>0.9</v>
      </c>
      <c r="Q32" s="14" t="s">
        <v>43</v>
      </c>
      <c r="R32" s="13">
        <v>0.9</v>
      </c>
    </row>
    <row r="33" spans="1:18" x14ac:dyDescent="0.25">
      <c r="K33" s="14" t="s">
        <v>38</v>
      </c>
      <c r="L33" s="13">
        <v>1</v>
      </c>
      <c r="N33" s="4">
        <f t="shared" si="3"/>
        <v>5</v>
      </c>
      <c r="O33" s="90">
        <v>1</v>
      </c>
      <c r="Q33" s="14" t="s">
        <v>42</v>
      </c>
      <c r="R33" s="13">
        <v>0.9</v>
      </c>
    </row>
    <row r="34" spans="1:18" x14ac:dyDescent="0.25">
      <c r="A34" s="92" t="s">
        <v>118</v>
      </c>
      <c r="K34" s="14" t="s">
        <v>37</v>
      </c>
      <c r="L34" s="13">
        <v>1</v>
      </c>
      <c r="N34" s="4">
        <f t="shared" si="3"/>
        <v>6</v>
      </c>
      <c r="O34" s="90">
        <v>1.1000000000000001</v>
      </c>
      <c r="Q34" s="14" t="s">
        <v>41</v>
      </c>
      <c r="R34" s="13">
        <v>0.9</v>
      </c>
    </row>
    <row r="35" spans="1:18" x14ac:dyDescent="0.25">
      <c r="A35" s="93" t="s">
        <v>119</v>
      </c>
      <c r="B35" s="94" t="s">
        <v>120</v>
      </c>
      <c r="C35" s="83" t="s">
        <v>112</v>
      </c>
      <c r="F35" s="95"/>
      <c r="G35" s="84">
        <f>IF(B35="Agency",1,VLOOKUP(B26,Q12:R63,2))</f>
        <v>0.9</v>
      </c>
      <c r="H35" s="95"/>
      <c r="I35" s="95"/>
      <c r="J35" s="95"/>
      <c r="K35" s="14" t="s">
        <v>36</v>
      </c>
      <c r="L35" s="13">
        <v>1</v>
      </c>
      <c r="N35" s="4">
        <f t="shared" si="3"/>
        <v>7</v>
      </c>
      <c r="O35" s="90">
        <v>1.2</v>
      </c>
      <c r="Q35" s="14" t="s">
        <v>40</v>
      </c>
      <c r="R35" s="13">
        <v>0.9</v>
      </c>
    </row>
    <row r="36" spans="1:18" x14ac:dyDescent="0.25">
      <c r="A36" s="81" t="s">
        <v>121</v>
      </c>
      <c r="B36" s="94" t="s">
        <v>122</v>
      </c>
      <c r="C36" s="83" t="s">
        <v>112</v>
      </c>
      <c r="G36" s="84">
        <f>VLOOKUP(B36,N89:O90,2)</f>
        <v>1</v>
      </c>
      <c r="K36" s="14" t="s">
        <v>35</v>
      </c>
      <c r="L36" s="13">
        <v>1</v>
      </c>
      <c r="N36" s="4">
        <f t="shared" si="3"/>
        <v>8</v>
      </c>
      <c r="O36" s="90">
        <v>1.28</v>
      </c>
      <c r="Q36" s="14" t="s">
        <v>39</v>
      </c>
      <c r="R36" s="13">
        <v>1</v>
      </c>
    </row>
    <row r="37" spans="1:18" x14ac:dyDescent="0.25">
      <c r="A37" s="81" t="s">
        <v>123</v>
      </c>
      <c r="B37" s="94" t="s">
        <v>1</v>
      </c>
      <c r="C37" s="83" t="s">
        <v>112</v>
      </c>
      <c r="F37" s="96"/>
      <c r="G37" s="84">
        <f>IF(B26="NJ",1,VLOOKUP(B37,N53:O57,2))</f>
        <v>0.85</v>
      </c>
      <c r="H37" s="96"/>
      <c r="I37" s="96"/>
      <c r="J37" s="96"/>
      <c r="K37" s="14" t="s">
        <v>34</v>
      </c>
      <c r="L37" s="13">
        <v>1</v>
      </c>
      <c r="N37" s="4">
        <f t="shared" si="3"/>
        <v>9</v>
      </c>
      <c r="O37" s="90">
        <v>1.38</v>
      </c>
      <c r="Q37" s="14" t="s">
        <v>38</v>
      </c>
      <c r="R37" s="13">
        <v>0.9</v>
      </c>
    </row>
    <row r="38" spans="1:18" ht="13.8" thickBot="1" x14ac:dyDescent="0.3">
      <c r="H38" s="97"/>
      <c r="I38" s="97"/>
      <c r="J38" s="97"/>
      <c r="K38" s="14" t="s">
        <v>33</v>
      </c>
      <c r="L38" s="13">
        <v>1</v>
      </c>
      <c r="N38" s="2">
        <f t="shared" si="3"/>
        <v>10</v>
      </c>
      <c r="O38" s="98">
        <v>1.5</v>
      </c>
      <c r="Q38" s="14" t="s">
        <v>37</v>
      </c>
      <c r="R38" s="13">
        <v>0.9</v>
      </c>
    </row>
    <row r="39" spans="1:18" ht="17.399999999999999" x14ac:dyDescent="0.3">
      <c r="H39" s="34"/>
      <c r="I39" s="96"/>
      <c r="J39" s="96"/>
      <c r="K39" s="14" t="s">
        <v>31</v>
      </c>
      <c r="L39" s="13">
        <v>1.1000000000000001</v>
      </c>
      <c r="Q39" s="14" t="s">
        <v>36</v>
      </c>
      <c r="R39" s="13">
        <v>0.9</v>
      </c>
    </row>
    <row r="40" spans="1:18" x14ac:dyDescent="0.25">
      <c r="H40" s="76"/>
      <c r="K40" s="14" t="s">
        <v>30</v>
      </c>
      <c r="L40" s="13">
        <v>1</v>
      </c>
      <c r="Q40" s="14" t="s">
        <v>35</v>
      </c>
      <c r="R40" s="13">
        <v>0.9</v>
      </c>
    </row>
    <row r="41" spans="1:18" ht="13.8" thickBot="1" x14ac:dyDescent="0.3">
      <c r="F41" s="96"/>
      <c r="G41" s="96"/>
      <c r="H41" s="96"/>
      <c r="I41" s="96"/>
      <c r="J41" s="96"/>
      <c r="K41" s="14" t="s">
        <v>29</v>
      </c>
      <c r="L41" s="13">
        <v>1</v>
      </c>
      <c r="Q41" s="14" t="s">
        <v>34</v>
      </c>
      <c r="R41" s="13">
        <v>0.9</v>
      </c>
    </row>
    <row r="42" spans="1:18" ht="18" thickBot="1" x14ac:dyDescent="0.3">
      <c r="B42" s="99" t="s">
        <v>124</v>
      </c>
      <c r="C42" s="100"/>
      <c r="K42" s="14" t="s">
        <v>27</v>
      </c>
      <c r="L42" s="13">
        <v>1.1000000000000001</v>
      </c>
      <c r="Q42" s="14" t="s">
        <v>33</v>
      </c>
      <c r="R42" s="13">
        <v>0.9</v>
      </c>
    </row>
    <row r="43" spans="1:18" ht="18" thickBot="1" x14ac:dyDescent="0.35">
      <c r="A43" s="101" t="s">
        <v>125</v>
      </c>
      <c r="B43" s="102" t="s">
        <v>110</v>
      </c>
      <c r="C43" s="103">
        <v>10000</v>
      </c>
      <c r="H43" s="76"/>
      <c r="K43" s="14" t="s">
        <v>25</v>
      </c>
      <c r="L43" s="13">
        <v>1</v>
      </c>
      <c r="N43" s="133" t="s">
        <v>32</v>
      </c>
      <c r="O43" s="133"/>
      <c r="Q43" s="14" t="s">
        <v>31</v>
      </c>
      <c r="R43" s="13">
        <v>0.9</v>
      </c>
    </row>
    <row r="44" spans="1:18" ht="17.399999999999999" x14ac:dyDescent="0.3">
      <c r="A44" s="104">
        <v>1000000</v>
      </c>
      <c r="B44" s="105">
        <f>MAX(VLOOKUP($A$44,$K$71:$L$80,2),PRODUCT($G$23:$G$37)*VLOOKUP($B$43,$N$23:$O$24,2))</f>
        <v>904.78080000000011</v>
      </c>
      <c r="C44" s="105">
        <f>MAX(VLOOKUP($A$44,$K$71:$L$80,2),PRODUCT($G$23:$G$37)*VLOOKUP($C$43,$N$23:$O$24,2))</f>
        <v>822.52800000000002</v>
      </c>
      <c r="K44" s="14" t="s">
        <v>23</v>
      </c>
      <c r="L44" s="13">
        <v>1</v>
      </c>
      <c r="N44" s="20"/>
      <c r="O44" s="19" t="s">
        <v>115</v>
      </c>
      <c r="Q44" s="14" t="s">
        <v>30</v>
      </c>
      <c r="R44" s="13">
        <v>0.9</v>
      </c>
    </row>
    <row r="45" spans="1:18" ht="18" thickBot="1" x14ac:dyDescent="0.35">
      <c r="A45" s="106">
        <v>2000000</v>
      </c>
      <c r="B45" s="107">
        <f>MAX(VLOOKUP($A$45,$K$71:$L$80,2)+$B$44,PRODUCT($G$23:$G$37)*VLOOKUP($A45,$N$10:$O$19,2)*VLOOKUP($B$43,$N$23:$O$24,2))</f>
        <v>1357.1712</v>
      </c>
      <c r="C45" s="107">
        <f>MAX(VLOOKUP($A$45,$K$71:$L$80,2)+$C$44,PRODUCT($G$23:$G$37)*VLOOKUP($A45,$N$10:$O$19,2)*VLOOKUP($C$43,$N$23:$O$24,2))</f>
        <v>1233.7919999999999</v>
      </c>
      <c r="K45" s="14" t="s">
        <v>21</v>
      </c>
      <c r="L45" s="13">
        <v>1</v>
      </c>
      <c r="N45" s="2" t="s">
        <v>0</v>
      </c>
      <c r="O45" s="18" t="s">
        <v>95</v>
      </c>
      <c r="Q45" s="14" t="s">
        <v>29</v>
      </c>
      <c r="R45" s="13">
        <v>0.9</v>
      </c>
    </row>
    <row r="46" spans="1:18" ht="17.399999999999999" x14ac:dyDescent="0.3">
      <c r="A46" s="106">
        <v>3000000</v>
      </c>
      <c r="B46" s="107">
        <f>MAX(VLOOKUP($A$46,$K$71:$L$80,2)+$B$44,PRODUCT($G$23:$G$37)*VLOOKUP($A46,$N$10:$O$19,2)*VLOOKUP($B$43,$N$23:$O$24,2))</f>
        <v>1809.5616000000002</v>
      </c>
      <c r="C46" s="107">
        <f>MAX(VLOOKUP($A$46,$K$71:$L$80,2)+$C$44,PRODUCT($G$23:$G$37)*VLOOKUP($A46,$N$10:$O$19,2)*VLOOKUP($C$43,$N$23:$O$24,2))</f>
        <v>1645.056</v>
      </c>
      <c r="K46" s="14" t="s">
        <v>19</v>
      </c>
      <c r="L46" s="13">
        <v>1</v>
      </c>
      <c r="N46" s="4" t="s">
        <v>28</v>
      </c>
      <c r="O46" s="3">
        <v>1.28</v>
      </c>
      <c r="Q46" s="14" t="s">
        <v>27</v>
      </c>
      <c r="R46" s="13">
        <v>0.9</v>
      </c>
    </row>
    <row r="47" spans="1:18" ht="17.399999999999999" x14ac:dyDescent="0.3">
      <c r="A47" s="106">
        <v>4000000</v>
      </c>
      <c r="B47" s="107">
        <f>MAX(VLOOKUP(A47,$K$71:$L$80,2)+$B$44,PRODUCT($G$23:$G$37)*VLOOKUP($A47,$N$10:$O$19,2)*VLOOKUP($B$43,$N$23:$O$24,2))</f>
        <v>2261.9520000000002</v>
      </c>
      <c r="C47" s="107">
        <f>MAX(VLOOKUP($A$47,$K$71:$L$80,2)+$C$44,PRODUCT($G$23:$G$37)*VLOOKUP($A47,$N$10:$O$19,2)*VLOOKUP($C$43,$N$23:$O$24,2))</f>
        <v>2056.3200000000002</v>
      </c>
      <c r="K47" s="14" t="s">
        <v>18</v>
      </c>
      <c r="L47" s="13">
        <v>1</v>
      </c>
      <c r="N47" s="4" t="s">
        <v>26</v>
      </c>
      <c r="O47" s="3">
        <v>1</v>
      </c>
      <c r="Q47" s="14" t="s">
        <v>25</v>
      </c>
      <c r="R47" s="13">
        <v>0.9</v>
      </c>
    </row>
    <row r="48" spans="1:18" ht="17.399999999999999" x14ac:dyDescent="0.3">
      <c r="A48" s="106">
        <v>5000000</v>
      </c>
      <c r="B48" s="107">
        <f>MAX(VLOOKUP(A48,$K$71:$L$80,2)+$B$44, PRODUCT($G$23:$G$37)*VLOOKUP($A48,$N$10:$O$19,2)*VLOOKUP($B$43,$N$23:$O$24,2))</f>
        <v>2714.3424</v>
      </c>
      <c r="C48" s="107">
        <f>MAX(VLOOKUP($A$48,$K$71:$L$80,2)+$C$44,PRODUCT($G$23:$G$37)*VLOOKUP($A48,$N$10:$O$19,2)*VLOOKUP($C$43,$N$23:$O$24,2))</f>
        <v>2467.5839999999998</v>
      </c>
      <c r="K48" s="14" t="s">
        <v>17</v>
      </c>
      <c r="L48" s="13">
        <v>1</v>
      </c>
      <c r="N48" s="4" t="s">
        <v>24</v>
      </c>
      <c r="O48" s="3">
        <v>1.1399999999999999</v>
      </c>
      <c r="Q48" s="14" t="s">
        <v>23</v>
      </c>
      <c r="R48" s="13">
        <v>0.9</v>
      </c>
    </row>
    <row r="49" spans="1:18" ht="17.399999999999999" x14ac:dyDescent="0.3">
      <c r="A49" s="106">
        <v>6000000</v>
      </c>
      <c r="B49" s="107">
        <f>MAX(VLOOKUP(A49,$K$71:$L$80,2)+$B$44,PRODUCT($G$23:$G$37)*VLOOKUP($A49,$N$10:$O$19,2)*VLOOKUP($B$43,$N$23:$O$24,2))</f>
        <v>3166.7328000000002</v>
      </c>
      <c r="C49" s="107">
        <f>MAX(VLOOKUP($A$49,$K$71:$L$80,2)+$C$44,PRODUCT($G$23:$G$37)*VLOOKUP($A49,$N$10:$O$19,2)*VLOOKUP($C$43,$N$23:$O$24,2))</f>
        <v>2878.848</v>
      </c>
      <c r="F49" s="96"/>
      <c r="G49" s="96"/>
      <c r="H49" s="96"/>
      <c r="I49" s="96"/>
      <c r="J49" s="96"/>
      <c r="K49" s="14" t="s">
        <v>15</v>
      </c>
      <c r="L49" s="13">
        <v>1</v>
      </c>
      <c r="N49" s="4" t="s">
        <v>22</v>
      </c>
      <c r="O49" s="3">
        <v>1.28</v>
      </c>
      <c r="Q49" s="14" t="s">
        <v>21</v>
      </c>
      <c r="R49" s="13">
        <v>0.9</v>
      </c>
    </row>
    <row r="50" spans="1:18" ht="18" thickBot="1" x14ac:dyDescent="0.35">
      <c r="A50" s="106">
        <v>7000000</v>
      </c>
      <c r="B50" s="107">
        <f>MAX(VLOOKUP(A50,$K$71:$L$80,2)+$B$44,PRODUCT($G$23:$G$37)*VLOOKUP($A50,$N$10:$O$19,2)*VLOOKUP($B$43,$N$23:$O$24,2))</f>
        <v>3619.1232000000005</v>
      </c>
      <c r="C50" s="107">
        <f>MAX(VLOOKUP($A$50,$K$71:$L$80,2)+$C$44,PRODUCT($G$23:$G$37)*VLOOKUP($A50,$N$10:$O$19,2)*VLOOKUP($C$43,$N$23:$O$24,2))</f>
        <v>3290.1120000000001</v>
      </c>
      <c r="K50" s="14" t="s">
        <v>13</v>
      </c>
      <c r="L50" s="13">
        <v>1</v>
      </c>
      <c r="N50" s="2" t="s">
        <v>20</v>
      </c>
      <c r="O50" s="1">
        <v>1.28</v>
      </c>
      <c r="Q50" s="14" t="s">
        <v>19</v>
      </c>
      <c r="R50" s="13">
        <v>0.9</v>
      </c>
    </row>
    <row r="51" spans="1:18" ht="18" thickBot="1" x14ac:dyDescent="0.35">
      <c r="A51" s="106">
        <v>8000000</v>
      </c>
      <c r="B51" s="107">
        <f>MAX(VLOOKUP(A51,$K$71:$L$80,2)+$B$44,PRODUCT($G$23:$G$37)*VLOOKUP($A51,$N$10:$O$19,2)*VLOOKUP($B$43,$N$23:$O$24,2))</f>
        <v>4071.5136000000007</v>
      </c>
      <c r="C51" s="107">
        <f>MAX(VLOOKUP($A$51,$K$71:$L$80,2)+$C$44,PRODUCT($G$23:$G$37)*VLOOKUP($A51,$N$10:$O$19,2)*VLOOKUP($C$43,$N$23:$O$24,2))</f>
        <v>3701.3760000000002</v>
      </c>
      <c r="G51" s="108"/>
      <c r="H51" s="108"/>
      <c r="I51" s="108"/>
      <c r="J51" s="108"/>
      <c r="K51" s="14" t="s">
        <v>12</v>
      </c>
      <c r="L51" s="13">
        <v>1</v>
      </c>
      <c r="Q51" s="14" t="s">
        <v>18</v>
      </c>
      <c r="R51" s="13">
        <v>0.9</v>
      </c>
    </row>
    <row r="52" spans="1:18" ht="18" thickBot="1" x14ac:dyDescent="0.35">
      <c r="A52" s="106">
        <v>9000000</v>
      </c>
      <c r="B52" s="107">
        <f>MAX(VLOOKUP(A52,$K$71:$L$80,2)+$B$44,PRODUCT($G$23:$G$37)*VLOOKUP($A52,$N$10:$O$19,2)*VLOOKUP($B$43,$N$23:$O$24,2))</f>
        <v>4523.9040000000005</v>
      </c>
      <c r="C52" s="107">
        <f>MAX(VLOOKUP($A$52,$K$71:$L$80,2)+$C$44,PRODUCT($G$23:$G$37)*VLOOKUP($A52,$N$10:$O$19,2)*VLOOKUP($C$43,$N$23:$O$24,2))</f>
        <v>4112.6400000000003</v>
      </c>
      <c r="G52" s="109"/>
      <c r="H52" s="109"/>
      <c r="I52" s="109"/>
      <c r="J52" s="109"/>
      <c r="K52" s="14" t="s">
        <v>10</v>
      </c>
      <c r="L52" s="13">
        <v>1.2</v>
      </c>
      <c r="N52" s="10" t="s">
        <v>126</v>
      </c>
      <c r="O52" s="9"/>
      <c r="Q52" s="14" t="s">
        <v>17</v>
      </c>
      <c r="R52" s="13">
        <v>0.9</v>
      </c>
    </row>
    <row r="53" spans="1:18" ht="18" thickBot="1" x14ac:dyDescent="0.35">
      <c r="A53" s="110">
        <v>10000000</v>
      </c>
      <c r="B53" s="111">
        <f>MAX(VLOOKUP(A53,$K$71:$L$80,2)+$B$44,PRODUCT($G$23:$G$37)*VLOOKUP($A53,$N$10:$O$19,2)*VLOOKUP($B$43,$N$23:$O$24,2))</f>
        <v>4976.2944000000007</v>
      </c>
      <c r="C53" s="111">
        <f>MAX(VLOOKUP($A$53,$K$71:$L$80,2)+$C$44,PRODUCT($G$23:$G$37)*VLOOKUP($A53,$N$10:$O$19,2)*VLOOKUP($C$43,$N$23:$O$24,2))</f>
        <v>4523.9040000000005</v>
      </c>
      <c r="G53" s="91"/>
      <c r="H53" s="91"/>
      <c r="I53" s="91"/>
      <c r="J53" s="91"/>
      <c r="K53" s="14" t="s">
        <v>8</v>
      </c>
      <c r="L53" s="13">
        <v>1</v>
      </c>
      <c r="N53" s="17" t="s">
        <v>16</v>
      </c>
      <c r="O53" s="16">
        <v>1.1000000000000001</v>
      </c>
      <c r="Q53" s="14" t="s">
        <v>15</v>
      </c>
      <c r="R53" s="13">
        <v>0.9</v>
      </c>
    </row>
    <row r="54" spans="1:18" ht="17.399999999999999" x14ac:dyDescent="0.3">
      <c r="G54" s="112"/>
      <c r="H54" s="112"/>
      <c r="I54" s="112"/>
      <c r="J54" s="112"/>
      <c r="K54" s="14" t="s">
        <v>7</v>
      </c>
      <c r="L54" s="13">
        <v>1</v>
      </c>
      <c r="N54" s="15" t="s">
        <v>14</v>
      </c>
      <c r="O54" s="7">
        <v>0.95</v>
      </c>
      <c r="Q54" s="14" t="s">
        <v>13</v>
      </c>
      <c r="R54" s="13">
        <v>0.9</v>
      </c>
    </row>
    <row r="55" spans="1:18" ht="13.8" thickBot="1" x14ac:dyDescent="0.3">
      <c r="K55" s="14" t="s">
        <v>6</v>
      </c>
      <c r="L55" s="13">
        <v>1</v>
      </c>
      <c r="N55" s="15" t="s">
        <v>1</v>
      </c>
      <c r="O55" s="7">
        <v>0.85</v>
      </c>
      <c r="Q55" s="14" t="s">
        <v>12</v>
      </c>
      <c r="R55" s="13">
        <v>0.9</v>
      </c>
    </row>
    <row r="56" spans="1:18" ht="18" thickBot="1" x14ac:dyDescent="0.35">
      <c r="A56" s="113" t="s">
        <v>127</v>
      </c>
      <c r="B56" s="114" t="s">
        <v>128</v>
      </c>
      <c r="C56" s="115" t="s">
        <v>112</v>
      </c>
      <c r="K56" s="14" t="s">
        <v>5</v>
      </c>
      <c r="L56" s="13">
        <v>1</v>
      </c>
      <c r="N56" s="8" t="s">
        <v>11</v>
      </c>
      <c r="O56" s="7">
        <v>1.2</v>
      </c>
      <c r="Q56" s="14" t="s">
        <v>10</v>
      </c>
      <c r="R56" s="13">
        <v>0.9</v>
      </c>
    </row>
    <row r="57" spans="1:18" ht="21.6" thickBot="1" x14ac:dyDescent="0.45">
      <c r="A57" s="116" t="s">
        <v>129</v>
      </c>
      <c r="K57" s="14" t="s">
        <v>4</v>
      </c>
      <c r="L57" s="13">
        <v>1</v>
      </c>
      <c r="N57" s="6" t="s">
        <v>9</v>
      </c>
      <c r="O57" s="5">
        <v>1</v>
      </c>
      <c r="Q57" s="14" t="s">
        <v>8</v>
      </c>
      <c r="R57" s="13">
        <v>0.9</v>
      </c>
    </row>
    <row r="58" spans="1:18" ht="17.399999999999999" x14ac:dyDescent="0.3">
      <c r="A58" s="117" t="s">
        <v>130</v>
      </c>
      <c r="B58" s="118">
        <v>1000000</v>
      </c>
      <c r="C58" s="115" t="s">
        <v>112</v>
      </c>
      <c r="G58" s="119" t="s">
        <v>110</v>
      </c>
      <c r="H58" s="120">
        <v>2</v>
      </c>
      <c r="K58" s="14" t="s">
        <v>3</v>
      </c>
      <c r="L58" s="13">
        <v>1</v>
      </c>
      <c r="Q58" s="14" t="s">
        <v>7</v>
      </c>
      <c r="R58" s="13">
        <v>0.9</v>
      </c>
    </row>
    <row r="59" spans="1:18" ht="18" thickBot="1" x14ac:dyDescent="0.35">
      <c r="A59" s="117" t="s">
        <v>131</v>
      </c>
      <c r="B59" s="118">
        <v>10000</v>
      </c>
      <c r="C59" s="115" t="s">
        <v>112</v>
      </c>
      <c r="G59" s="119">
        <v>10000</v>
      </c>
      <c r="H59" s="120">
        <v>3</v>
      </c>
      <c r="K59" s="12" t="s">
        <v>2</v>
      </c>
      <c r="L59" s="11">
        <v>1</v>
      </c>
      <c r="Q59" s="14" t="s">
        <v>6</v>
      </c>
      <c r="R59" s="13">
        <v>0.9</v>
      </c>
    </row>
    <row r="60" spans="1:18" ht="13.8" thickBot="1" x14ac:dyDescent="0.3">
      <c r="A60" s="48"/>
      <c r="B60" s="121"/>
      <c r="N60" s="10" t="s">
        <v>132</v>
      </c>
      <c r="O60" s="9"/>
      <c r="Q60" s="14" t="s">
        <v>5</v>
      </c>
      <c r="R60" s="13">
        <v>0.9</v>
      </c>
    </row>
    <row r="61" spans="1:18" ht="23.4" thickBot="1" x14ac:dyDescent="0.45">
      <c r="A61" s="122" t="s">
        <v>133</v>
      </c>
      <c r="B61" s="123">
        <f>IF(B56="No",0,VLOOKUP(B58,A44:C53,VLOOKUP(B59,G58:H59,2,FALSE)))</f>
        <v>822.52800000000002</v>
      </c>
      <c r="G61" s="29" t="s">
        <v>122</v>
      </c>
      <c r="N61" s="8" t="s">
        <v>134</v>
      </c>
      <c r="O61" s="7">
        <v>35</v>
      </c>
      <c r="Q61" s="14" t="s">
        <v>4</v>
      </c>
      <c r="R61" s="13">
        <v>0.9</v>
      </c>
    </row>
    <row r="62" spans="1:18" x14ac:dyDescent="0.25">
      <c r="G62" s="29" t="s">
        <v>128</v>
      </c>
      <c r="N62" s="8" t="s">
        <v>135</v>
      </c>
      <c r="O62" s="7">
        <v>35</v>
      </c>
      <c r="Q62" s="14" t="s">
        <v>3</v>
      </c>
      <c r="R62" s="13">
        <v>0.9</v>
      </c>
    </row>
    <row r="63" spans="1:18" ht="13.8" thickBot="1" x14ac:dyDescent="0.3">
      <c r="N63" s="8" t="s">
        <v>136</v>
      </c>
      <c r="O63" s="7">
        <v>40</v>
      </c>
      <c r="Q63" s="12" t="s">
        <v>2</v>
      </c>
      <c r="R63" s="11">
        <v>0.9</v>
      </c>
    </row>
    <row r="64" spans="1:18" ht="13.8" thickBot="1" x14ac:dyDescent="0.3">
      <c r="N64" s="6" t="s">
        <v>137</v>
      </c>
      <c r="O64" s="5">
        <v>150</v>
      </c>
    </row>
    <row r="65" spans="10:15" ht="13.8" thickBot="1" x14ac:dyDescent="0.3">
      <c r="N65" s="6" t="s">
        <v>138</v>
      </c>
      <c r="O65" s="5">
        <v>180</v>
      </c>
    </row>
    <row r="66" spans="10:15" ht="13.8" thickBot="1" x14ac:dyDescent="0.3">
      <c r="M66" s="124"/>
      <c r="N66" s="6" t="s">
        <v>139</v>
      </c>
      <c r="O66" s="5">
        <v>180</v>
      </c>
    </row>
    <row r="67" spans="10:15" x14ac:dyDescent="0.25">
      <c r="M67" s="125"/>
    </row>
    <row r="68" spans="10:15" ht="13.8" thickBot="1" x14ac:dyDescent="0.3">
      <c r="M68" s="125"/>
    </row>
    <row r="69" spans="10:15" ht="13.8" thickBot="1" x14ac:dyDescent="0.3">
      <c r="M69" s="125"/>
      <c r="N69" s="10" t="s">
        <v>140</v>
      </c>
      <c r="O69" s="9"/>
    </row>
    <row r="70" spans="10:15" ht="16.2" thickBot="1" x14ac:dyDescent="0.35">
      <c r="K70" s="134" t="s">
        <v>141</v>
      </c>
      <c r="L70" s="136"/>
      <c r="N70" s="8" t="s">
        <v>134</v>
      </c>
      <c r="O70" s="7">
        <v>52.5</v>
      </c>
    </row>
    <row r="71" spans="10:15" x14ac:dyDescent="0.25">
      <c r="K71" s="43">
        <v>1000000</v>
      </c>
      <c r="L71" s="126">
        <v>350</v>
      </c>
      <c r="N71" s="8" t="s">
        <v>135</v>
      </c>
      <c r="O71" s="7">
        <v>52.5</v>
      </c>
    </row>
    <row r="72" spans="10:15" x14ac:dyDescent="0.25">
      <c r="J72" s="125">
        <f>+L72+$L$71</f>
        <v>650</v>
      </c>
      <c r="K72" s="46">
        <f t="shared" ref="K72:K80" si="4">1000000+K71</f>
        <v>2000000</v>
      </c>
      <c r="L72" s="127">
        <v>300</v>
      </c>
      <c r="M72" s="29">
        <v>300</v>
      </c>
      <c r="N72" s="8" t="s">
        <v>136</v>
      </c>
      <c r="O72" s="7">
        <v>60</v>
      </c>
    </row>
    <row r="73" spans="10:15" ht="13.8" thickBot="1" x14ac:dyDescent="0.3">
      <c r="J73" s="125">
        <f t="shared" ref="J73:J80" si="5">+L73+$L$71</f>
        <v>950</v>
      </c>
      <c r="K73" s="46">
        <f t="shared" si="4"/>
        <v>3000000</v>
      </c>
      <c r="L73" s="127">
        <v>600</v>
      </c>
      <c r="M73" s="29">
        <v>600</v>
      </c>
      <c r="N73" s="6" t="s">
        <v>137</v>
      </c>
      <c r="O73" s="5">
        <v>300</v>
      </c>
    </row>
    <row r="74" spans="10:15" ht="13.8" thickBot="1" x14ac:dyDescent="0.3">
      <c r="J74" s="125">
        <f t="shared" si="5"/>
        <v>1250</v>
      </c>
      <c r="K74" s="46">
        <f t="shared" si="4"/>
        <v>4000000</v>
      </c>
      <c r="L74" s="127">
        <v>900</v>
      </c>
      <c r="M74" s="29">
        <v>900</v>
      </c>
      <c r="N74" s="6" t="s">
        <v>138</v>
      </c>
      <c r="O74" s="5">
        <v>360</v>
      </c>
    </row>
    <row r="75" spans="10:15" ht="13.8" thickBot="1" x14ac:dyDescent="0.3">
      <c r="J75" s="125">
        <f t="shared" si="5"/>
        <v>1550</v>
      </c>
      <c r="K75" s="59">
        <f t="shared" si="4"/>
        <v>5000000</v>
      </c>
      <c r="L75" s="128">
        <v>1200</v>
      </c>
      <c r="M75" s="29">
        <v>1200</v>
      </c>
      <c r="N75" s="6" t="s">
        <v>139</v>
      </c>
      <c r="O75" s="5">
        <v>360</v>
      </c>
    </row>
    <row r="76" spans="10:15" x14ac:dyDescent="0.25">
      <c r="J76" s="125">
        <f t="shared" si="5"/>
        <v>1850</v>
      </c>
      <c r="K76" s="59">
        <f t="shared" si="4"/>
        <v>6000000</v>
      </c>
      <c r="L76" s="128">
        <v>1500</v>
      </c>
    </row>
    <row r="77" spans="10:15" x14ac:dyDescent="0.25">
      <c r="J77" s="125">
        <f t="shared" si="5"/>
        <v>2150</v>
      </c>
      <c r="K77" s="59">
        <f t="shared" si="4"/>
        <v>7000000</v>
      </c>
      <c r="L77" s="128">
        <v>1800</v>
      </c>
    </row>
    <row r="78" spans="10:15" x14ac:dyDescent="0.25">
      <c r="J78" s="125">
        <f t="shared" si="5"/>
        <v>2450</v>
      </c>
      <c r="K78" s="46">
        <f t="shared" si="4"/>
        <v>8000000</v>
      </c>
      <c r="L78" s="127">
        <v>2100</v>
      </c>
      <c r="N78" s="91"/>
    </row>
    <row r="79" spans="10:15" x14ac:dyDescent="0.25">
      <c r="J79" s="125">
        <f t="shared" si="5"/>
        <v>2750</v>
      </c>
      <c r="K79" s="46">
        <f t="shared" si="4"/>
        <v>9000000</v>
      </c>
      <c r="L79" s="127">
        <v>2400</v>
      </c>
      <c r="N79" s="91" t="s">
        <v>142</v>
      </c>
    </row>
    <row r="80" spans="10:15" ht="13.8" thickBot="1" x14ac:dyDescent="0.3">
      <c r="J80" s="125">
        <f t="shared" si="5"/>
        <v>3050</v>
      </c>
      <c r="K80" s="70">
        <f t="shared" si="4"/>
        <v>10000000</v>
      </c>
      <c r="L80" s="129">
        <v>2700</v>
      </c>
      <c r="N80" s="91" t="s">
        <v>120</v>
      </c>
    </row>
    <row r="82" spans="14:15" ht="16.2" thickBot="1" x14ac:dyDescent="0.35">
      <c r="N82" s="133" t="s">
        <v>143</v>
      </c>
      <c r="O82" s="133"/>
    </row>
    <row r="83" spans="14:15" ht="13.8" thickBot="1" x14ac:dyDescent="0.3">
      <c r="N83" s="2" t="s">
        <v>144</v>
      </c>
      <c r="O83" s="1">
        <v>1</v>
      </c>
    </row>
    <row r="84" spans="14:15" x14ac:dyDescent="0.25">
      <c r="N84" s="4" t="s">
        <v>145</v>
      </c>
      <c r="O84" s="3">
        <v>0.97</v>
      </c>
    </row>
    <row r="85" spans="14:15" x14ac:dyDescent="0.25">
      <c r="N85" s="4" t="s">
        <v>146</v>
      </c>
      <c r="O85" s="3">
        <v>0.94</v>
      </c>
    </row>
    <row r="88" spans="14:15" ht="16.2" thickBot="1" x14ac:dyDescent="0.35">
      <c r="N88" s="133" t="s">
        <v>147</v>
      </c>
      <c r="O88" s="133"/>
    </row>
    <row r="89" spans="14:15" ht="13.8" thickBot="1" x14ac:dyDescent="0.3">
      <c r="N89" s="2" t="s">
        <v>122</v>
      </c>
      <c r="O89" s="1">
        <v>1</v>
      </c>
    </row>
    <row r="90" spans="14:15" ht="13.8" thickBot="1" x14ac:dyDescent="0.3">
      <c r="N90" s="130" t="s">
        <v>128</v>
      </c>
      <c r="O90" s="33">
        <v>0.9</v>
      </c>
    </row>
    <row r="91" spans="14:15" x14ac:dyDescent="0.25">
      <c r="O91" s="131"/>
    </row>
    <row r="92" spans="14:15" ht="16.2" thickBot="1" x14ac:dyDescent="0.35">
      <c r="N92" s="133" t="s">
        <v>148</v>
      </c>
      <c r="O92" s="133"/>
    </row>
    <row r="93" spans="14:15" ht="13.8" thickBot="1" x14ac:dyDescent="0.3">
      <c r="N93" s="2" t="s">
        <v>149</v>
      </c>
      <c r="O93" s="1">
        <v>1</v>
      </c>
    </row>
    <row r="94" spans="14:15" ht="13.8" thickBot="1" x14ac:dyDescent="0.3">
      <c r="N94" s="130" t="s">
        <v>150</v>
      </c>
      <c r="O94" s="33">
        <v>1.2</v>
      </c>
    </row>
    <row r="95" spans="14:15" ht="13.8" thickBot="1" x14ac:dyDescent="0.3">
      <c r="N95" s="130" t="s">
        <v>151</v>
      </c>
      <c r="O95" s="33">
        <v>1.2</v>
      </c>
    </row>
    <row r="96" spans="14:15" ht="13.8" thickBot="1" x14ac:dyDescent="0.3">
      <c r="N96" s="130" t="s">
        <v>152</v>
      </c>
      <c r="O96" s="33">
        <v>1.4</v>
      </c>
    </row>
    <row r="131" spans="11:16" ht="13.8" x14ac:dyDescent="0.3">
      <c r="K131" s="132"/>
      <c r="L131" s="132"/>
      <c r="M131" s="132"/>
      <c r="N131" s="132"/>
      <c r="O131" s="132"/>
      <c r="P131" s="132"/>
    </row>
    <row r="132" spans="11:16" ht="13.8" x14ac:dyDescent="0.3">
      <c r="K132" s="132"/>
      <c r="L132" s="132"/>
      <c r="M132" s="132"/>
      <c r="N132" s="132"/>
      <c r="O132" s="132"/>
      <c r="P132" s="132"/>
    </row>
    <row r="133" spans="11:16" ht="13.8" x14ac:dyDescent="0.3">
      <c r="K133" s="132"/>
      <c r="L133" s="132"/>
      <c r="M133" s="132"/>
      <c r="N133" s="132"/>
      <c r="O133" s="132"/>
      <c r="P133" s="132"/>
    </row>
    <row r="134" spans="11:16" ht="13.8" x14ac:dyDescent="0.3">
      <c r="K134" s="132"/>
      <c r="L134" s="132"/>
      <c r="M134" s="132"/>
      <c r="N134" s="132"/>
      <c r="O134" s="132"/>
      <c r="P134" s="132"/>
    </row>
    <row r="135" spans="11:16" ht="13.8" x14ac:dyDescent="0.3">
      <c r="K135" s="132"/>
      <c r="L135" s="132"/>
      <c r="M135" s="132"/>
      <c r="N135" s="132"/>
      <c r="O135" s="132"/>
      <c r="P135" s="132"/>
    </row>
    <row r="136" spans="11:16" ht="13.8" x14ac:dyDescent="0.3">
      <c r="K136" s="132"/>
      <c r="L136" s="132"/>
      <c r="M136" s="132"/>
      <c r="N136" s="132"/>
      <c r="O136" s="132"/>
      <c r="P136" s="132"/>
    </row>
    <row r="137" spans="11:16" ht="13.8" x14ac:dyDescent="0.3">
      <c r="K137" s="132"/>
      <c r="L137" s="132"/>
      <c r="M137" s="132"/>
      <c r="N137" s="132"/>
      <c r="O137" s="132"/>
      <c r="P137" s="132"/>
    </row>
    <row r="138" spans="11:16" ht="13.8" x14ac:dyDescent="0.3">
      <c r="K138" s="132"/>
      <c r="L138" s="132"/>
      <c r="M138" s="132"/>
      <c r="N138" s="132"/>
      <c r="O138" s="132"/>
      <c r="P138" s="132"/>
    </row>
    <row r="139" spans="11:16" ht="13.8" x14ac:dyDescent="0.3">
      <c r="K139" s="132"/>
      <c r="L139" s="132"/>
      <c r="M139" s="132"/>
      <c r="N139" s="132"/>
      <c r="O139" s="132"/>
      <c r="P139" s="132"/>
    </row>
    <row r="140" spans="11:16" ht="13.8" x14ac:dyDescent="0.3">
      <c r="K140" s="132"/>
      <c r="L140" s="132"/>
      <c r="M140" s="132"/>
      <c r="N140" s="132"/>
      <c r="O140" s="132"/>
      <c r="P140" s="132"/>
    </row>
    <row r="141" spans="11:16" ht="13.8" x14ac:dyDescent="0.3">
      <c r="K141" s="132"/>
      <c r="L141" s="132"/>
      <c r="M141" s="132"/>
      <c r="N141" s="132"/>
      <c r="O141" s="132"/>
      <c r="P141" s="132"/>
    </row>
    <row r="142" spans="11:16" ht="13.8" x14ac:dyDescent="0.3">
      <c r="K142" s="132"/>
      <c r="L142" s="132"/>
      <c r="M142" s="132"/>
      <c r="N142" s="132"/>
      <c r="O142" s="132"/>
      <c r="P142" s="132"/>
    </row>
    <row r="143" spans="11:16" ht="13.8" x14ac:dyDescent="0.3">
      <c r="K143" s="132"/>
      <c r="L143" s="132"/>
      <c r="M143" s="132"/>
      <c r="N143" s="132"/>
      <c r="O143" s="132"/>
      <c r="P143" s="132"/>
    </row>
    <row r="144" spans="11:16" ht="13.8" x14ac:dyDescent="0.3">
      <c r="K144" s="132"/>
      <c r="L144" s="132"/>
      <c r="M144" s="132"/>
      <c r="N144" s="132"/>
      <c r="O144" s="132"/>
      <c r="P144" s="132"/>
    </row>
    <row r="145" spans="11:16" ht="13.8" x14ac:dyDescent="0.3">
      <c r="K145" s="132"/>
      <c r="L145" s="132"/>
      <c r="M145" s="132"/>
      <c r="N145" s="132"/>
      <c r="O145" s="132"/>
      <c r="P145" s="132"/>
    </row>
    <row r="146" spans="11:16" ht="13.8" x14ac:dyDescent="0.3">
      <c r="K146" s="132"/>
      <c r="L146" s="132"/>
      <c r="M146" s="132"/>
      <c r="N146" s="132"/>
      <c r="O146" s="132"/>
      <c r="P146" s="132"/>
    </row>
  </sheetData>
  <mergeCells count="9">
    <mergeCell ref="N82:O82"/>
    <mergeCell ref="N88:O88"/>
    <mergeCell ref="N92:O92"/>
    <mergeCell ref="N9:O9"/>
    <mergeCell ref="Q9:R9"/>
    <mergeCell ref="N22:O22"/>
    <mergeCell ref="N26:O26"/>
    <mergeCell ref="N43:O43"/>
    <mergeCell ref="K70:L70"/>
  </mergeCells>
  <dataValidations count="10">
    <dataValidation type="list" allowBlank="1" showInputMessage="1" showErrorMessage="1" sqref="B26 IV26 SR26 ACN26 AMJ26 AWF26 BGB26 BPX26 BZT26 CJP26 CTL26 DDH26 DND26 DWZ26 EGV26 EQR26 FAN26 FKJ26 FUF26 GEB26 GNX26 GXT26 HHP26 HRL26 IBH26 ILD26 IUZ26 JEV26 JOR26 JYN26 KIJ26 KSF26 LCB26 LLX26 LVT26 MFP26 MPL26 MZH26 NJD26 NSZ26 OCV26 OMR26 OWN26 PGJ26 PQF26 QAB26 QJX26 QTT26 RDP26 RNL26 RXH26 SHD26 SQZ26 TAV26 TKR26 TUN26 UEJ26 UOF26 UYB26 VHX26 VRT26 WBP26 WLL26 WVH26 B65562 IV65562 SR65562 ACN65562 AMJ65562 AWF65562 BGB65562 BPX65562 BZT65562 CJP65562 CTL65562 DDH65562 DND65562 DWZ65562 EGV65562 EQR65562 FAN65562 FKJ65562 FUF65562 GEB65562 GNX65562 GXT65562 HHP65562 HRL65562 IBH65562 ILD65562 IUZ65562 JEV65562 JOR65562 JYN65562 KIJ65562 KSF65562 LCB65562 LLX65562 LVT65562 MFP65562 MPL65562 MZH65562 NJD65562 NSZ65562 OCV65562 OMR65562 OWN65562 PGJ65562 PQF65562 QAB65562 QJX65562 QTT65562 RDP65562 RNL65562 RXH65562 SHD65562 SQZ65562 TAV65562 TKR65562 TUN65562 UEJ65562 UOF65562 UYB65562 VHX65562 VRT65562 WBP65562 WLL65562 WVH65562 B131098 IV131098 SR131098 ACN131098 AMJ131098 AWF131098 BGB131098 BPX131098 BZT131098 CJP131098 CTL131098 DDH131098 DND131098 DWZ131098 EGV131098 EQR131098 FAN131098 FKJ131098 FUF131098 GEB131098 GNX131098 GXT131098 HHP131098 HRL131098 IBH131098 ILD131098 IUZ131098 JEV131098 JOR131098 JYN131098 KIJ131098 KSF131098 LCB131098 LLX131098 LVT131098 MFP131098 MPL131098 MZH131098 NJD131098 NSZ131098 OCV131098 OMR131098 OWN131098 PGJ131098 PQF131098 QAB131098 QJX131098 QTT131098 RDP131098 RNL131098 RXH131098 SHD131098 SQZ131098 TAV131098 TKR131098 TUN131098 UEJ131098 UOF131098 UYB131098 VHX131098 VRT131098 WBP131098 WLL131098 WVH131098 B196634 IV196634 SR196634 ACN196634 AMJ196634 AWF196634 BGB196634 BPX196634 BZT196634 CJP196634 CTL196634 DDH196634 DND196634 DWZ196634 EGV196634 EQR196634 FAN196634 FKJ196634 FUF196634 GEB196634 GNX196634 GXT196634 HHP196634 HRL196634 IBH196634 ILD196634 IUZ196634 JEV196634 JOR196634 JYN196634 KIJ196634 KSF196634 LCB196634 LLX196634 LVT196634 MFP196634 MPL196634 MZH196634 NJD196634 NSZ196634 OCV196634 OMR196634 OWN196634 PGJ196634 PQF196634 QAB196634 QJX196634 QTT196634 RDP196634 RNL196634 RXH196634 SHD196634 SQZ196634 TAV196634 TKR196634 TUN196634 UEJ196634 UOF196634 UYB196634 VHX196634 VRT196634 WBP196634 WLL196634 WVH196634 B262170 IV262170 SR262170 ACN262170 AMJ262170 AWF262170 BGB262170 BPX262170 BZT262170 CJP262170 CTL262170 DDH262170 DND262170 DWZ262170 EGV262170 EQR262170 FAN262170 FKJ262170 FUF262170 GEB262170 GNX262170 GXT262170 HHP262170 HRL262170 IBH262170 ILD262170 IUZ262170 JEV262170 JOR262170 JYN262170 KIJ262170 KSF262170 LCB262170 LLX262170 LVT262170 MFP262170 MPL262170 MZH262170 NJD262170 NSZ262170 OCV262170 OMR262170 OWN262170 PGJ262170 PQF262170 QAB262170 QJX262170 QTT262170 RDP262170 RNL262170 RXH262170 SHD262170 SQZ262170 TAV262170 TKR262170 TUN262170 UEJ262170 UOF262170 UYB262170 VHX262170 VRT262170 WBP262170 WLL262170 WVH262170 B327706 IV327706 SR327706 ACN327706 AMJ327706 AWF327706 BGB327706 BPX327706 BZT327706 CJP327706 CTL327706 DDH327706 DND327706 DWZ327706 EGV327706 EQR327706 FAN327706 FKJ327706 FUF327706 GEB327706 GNX327706 GXT327706 HHP327706 HRL327706 IBH327706 ILD327706 IUZ327706 JEV327706 JOR327706 JYN327706 KIJ327706 KSF327706 LCB327706 LLX327706 LVT327706 MFP327706 MPL327706 MZH327706 NJD327706 NSZ327706 OCV327706 OMR327706 OWN327706 PGJ327706 PQF327706 QAB327706 QJX327706 QTT327706 RDP327706 RNL327706 RXH327706 SHD327706 SQZ327706 TAV327706 TKR327706 TUN327706 UEJ327706 UOF327706 UYB327706 VHX327706 VRT327706 WBP327706 WLL327706 WVH327706 B393242 IV393242 SR393242 ACN393242 AMJ393242 AWF393242 BGB393242 BPX393242 BZT393242 CJP393242 CTL393242 DDH393242 DND393242 DWZ393242 EGV393242 EQR393242 FAN393242 FKJ393242 FUF393242 GEB393242 GNX393242 GXT393242 HHP393242 HRL393242 IBH393242 ILD393242 IUZ393242 JEV393242 JOR393242 JYN393242 KIJ393242 KSF393242 LCB393242 LLX393242 LVT393242 MFP393242 MPL393242 MZH393242 NJD393242 NSZ393242 OCV393242 OMR393242 OWN393242 PGJ393242 PQF393242 QAB393242 QJX393242 QTT393242 RDP393242 RNL393242 RXH393242 SHD393242 SQZ393242 TAV393242 TKR393242 TUN393242 UEJ393242 UOF393242 UYB393242 VHX393242 VRT393242 WBP393242 WLL393242 WVH393242 B458778 IV458778 SR458778 ACN458778 AMJ458778 AWF458778 BGB458778 BPX458778 BZT458778 CJP458778 CTL458778 DDH458778 DND458778 DWZ458778 EGV458778 EQR458778 FAN458778 FKJ458778 FUF458778 GEB458778 GNX458778 GXT458778 HHP458778 HRL458778 IBH458778 ILD458778 IUZ458778 JEV458778 JOR458778 JYN458778 KIJ458778 KSF458778 LCB458778 LLX458778 LVT458778 MFP458778 MPL458778 MZH458778 NJD458778 NSZ458778 OCV458778 OMR458778 OWN458778 PGJ458778 PQF458778 QAB458778 QJX458778 QTT458778 RDP458778 RNL458778 RXH458778 SHD458778 SQZ458778 TAV458778 TKR458778 TUN458778 UEJ458778 UOF458778 UYB458778 VHX458778 VRT458778 WBP458778 WLL458778 WVH458778 B524314 IV524314 SR524314 ACN524314 AMJ524314 AWF524314 BGB524314 BPX524314 BZT524314 CJP524314 CTL524314 DDH524314 DND524314 DWZ524314 EGV524314 EQR524314 FAN524314 FKJ524314 FUF524314 GEB524314 GNX524314 GXT524314 HHP524314 HRL524314 IBH524314 ILD524314 IUZ524314 JEV524314 JOR524314 JYN524314 KIJ524314 KSF524314 LCB524314 LLX524314 LVT524314 MFP524314 MPL524314 MZH524314 NJD524314 NSZ524314 OCV524314 OMR524314 OWN524314 PGJ524314 PQF524314 QAB524314 QJX524314 QTT524314 RDP524314 RNL524314 RXH524314 SHD524314 SQZ524314 TAV524314 TKR524314 TUN524314 UEJ524314 UOF524314 UYB524314 VHX524314 VRT524314 WBP524314 WLL524314 WVH524314 B589850 IV589850 SR589850 ACN589850 AMJ589850 AWF589850 BGB589850 BPX589850 BZT589850 CJP589850 CTL589850 DDH589850 DND589850 DWZ589850 EGV589850 EQR589850 FAN589850 FKJ589850 FUF589850 GEB589850 GNX589850 GXT589850 HHP589850 HRL589850 IBH589850 ILD589850 IUZ589850 JEV589850 JOR589850 JYN589850 KIJ589850 KSF589850 LCB589850 LLX589850 LVT589850 MFP589850 MPL589850 MZH589850 NJD589850 NSZ589850 OCV589850 OMR589850 OWN589850 PGJ589850 PQF589850 QAB589850 QJX589850 QTT589850 RDP589850 RNL589850 RXH589850 SHD589850 SQZ589850 TAV589850 TKR589850 TUN589850 UEJ589850 UOF589850 UYB589850 VHX589850 VRT589850 WBP589850 WLL589850 WVH589850 B655386 IV655386 SR655386 ACN655386 AMJ655386 AWF655386 BGB655386 BPX655386 BZT655386 CJP655386 CTL655386 DDH655386 DND655386 DWZ655386 EGV655386 EQR655386 FAN655386 FKJ655386 FUF655386 GEB655386 GNX655386 GXT655386 HHP655386 HRL655386 IBH655386 ILD655386 IUZ655386 JEV655386 JOR655386 JYN655386 KIJ655386 KSF655386 LCB655386 LLX655386 LVT655386 MFP655386 MPL655386 MZH655386 NJD655386 NSZ655386 OCV655386 OMR655386 OWN655386 PGJ655386 PQF655386 QAB655386 QJX655386 QTT655386 RDP655386 RNL655386 RXH655386 SHD655386 SQZ655386 TAV655386 TKR655386 TUN655386 UEJ655386 UOF655386 UYB655386 VHX655386 VRT655386 WBP655386 WLL655386 WVH655386 B720922 IV720922 SR720922 ACN720922 AMJ720922 AWF720922 BGB720922 BPX720922 BZT720922 CJP720922 CTL720922 DDH720922 DND720922 DWZ720922 EGV720922 EQR720922 FAN720922 FKJ720922 FUF720922 GEB720922 GNX720922 GXT720922 HHP720922 HRL720922 IBH720922 ILD720922 IUZ720922 JEV720922 JOR720922 JYN720922 KIJ720922 KSF720922 LCB720922 LLX720922 LVT720922 MFP720922 MPL720922 MZH720922 NJD720922 NSZ720922 OCV720922 OMR720922 OWN720922 PGJ720922 PQF720922 QAB720922 QJX720922 QTT720922 RDP720922 RNL720922 RXH720922 SHD720922 SQZ720922 TAV720922 TKR720922 TUN720922 UEJ720922 UOF720922 UYB720922 VHX720922 VRT720922 WBP720922 WLL720922 WVH720922 B786458 IV786458 SR786458 ACN786458 AMJ786458 AWF786458 BGB786458 BPX786458 BZT786458 CJP786458 CTL786458 DDH786458 DND786458 DWZ786458 EGV786458 EQR786458 FAN786458 FKJ786458 FUF786458 GEB786458 GNX786458 GXT786458 HHP786458 HRL786458 IBH786458 ILD786458 IUZ786458 JEV786458 JOR786458 JYN786458 KIJ786458 KSF786458 LCB786458 LLX786458 LVT786458 MFP786458 MPL786458 MZH786458 NJD786458 NSZ786458 OCV786458 OMR786458 OWN786458 PGJ786458 PQF786458 QAB786458 QJX786458 QTT786458 RDP786458 RNL786458 RXH786458 SHD786458 SQZ786458 TAV786458 TKR786458 TUN786458 UEJ786458 UOF786458 UYB786458 VHX786458 VRT786458 WBP786458 WLL786458 WVH786458 B851994 IV851994 SR851994 ACN851994 AMJ851994 AWF851994 BGB851994 BPX851994 BZT851994 CJP851994 CTL851994 DDH851994 DND851994 DWZ851994 EGV851994 EQR851994 FAN851994 FKJ851994 FUF851994 GEB851994 GNX851994 GXT851994 HHP851994 HRL851994 IBH851994 ILD851994 IUZ851994 JEV851994 JOR851994 JYN851994 KIJ851994 KSF851994 LCB851994 LLX851994 LVT851994 MFP851994 MPL851994 MZH851994 NJD851994 NSZ851994 OCV851994 OMR851994 OWN851994 PGJ851994 PQF851994 QAB851994 QJX851994 QTT851994 RDP851994 RNL851994 RXH851994 SHD851994 SQZ851994 TAV851994 TKR851994 TUN851994 UEJ851994 UOF851994 UYB851994 VHX851994 VRT851994 WBP851994 WLL851994 WVH851994 B917530 IV917530 SR917530 ACN917530 AMJ917530 AWF917530 BGB917530 BPX917530 BZT917530 CJP917530 CTL917530 DDH917530 DND917530 DWZ917530 EGV917530 EQR917530 FAN917530 FKJ917530 FUF917530 GEB917530 GNX917530 GXT917530 HHP917530 HRL917530 IBH917530 ILD917530 IUZ917530 JEV917530 JOR917530 JYN917530 KIJ917530 KSF917530 LCB917530 LLX917530 LVT917530 MFP917530 MPL917530 MZH917530 NJD917530 NSZ917530 OCV917530 OMR917530 OWN917530 PGJ917530 PQF917530 QAB917530 QJX917530 QTT917530 RDP917530 RNL917530 RXH917530 SHD917530 SQZ917530 TAV917530 TKR917530 TUN917530 UEJ917530 UOF917530 UYB917530 VHX917530 VRT917530 WBP917530 WLL917530 WVH917530 B983066 IV983066 SR983066 ACN983066 AMJ983066 AWF983066 BGB983066 BPX983066 BZT983066 CJP983066 CTL983066 DDH983066 DND983066 DWZ983066 EGV983066 EQR983066 FAN983066 FKJ983066 FUF983066 GEB983066 GNX983066 GXT983066 HHP983066 HRL983066 IBH983066 ILD983066 IUZ983066 JEV983066 JOR983066 JYN983066 KIJ983066 KSF983066 LCB983066 LLX983066 LVT983066 MFP983066 MPL983066 MZH983066 NJD983066 NSZ983066 OCV983066 OMR983066 OWN983066 PGJ983066 PQF983066 QAB983066 QJX983066 QTT983066 RDP983066 RNL983066 RXH983066 SHD983066 SQZ983066 TAV983066 TKR983066 TUN983066 UEJ983066 UOF983066 UYB983066 VHX983066 VRT983066 WBP983066 WLL983066 WVH983066" xr:uid="{EAA020D2-BE60-4605-BF4C-07EB5FB4AFCE}">
      <formula1>$K$8:$K$59</formula1>
    </dataValidation>
    <dataValidation type="list" allowBlank="1" showInputMessage="1" showErrorMessage="1" sqref="B37 IV37 SR37 ACN37 AMJ37 AWF37 BGB37 BPX37 BZT37 CJP37 CTL37 DDH37 DND37 DWZ37 EGV37 EQR37 FAN37 FKJ37 FUF37 GEB37 GNX37 GXT37 HHP37 HRL37 IBH37 ILD37 IUZ37 JEV37 JOR37 JYN37 KIJ37 KSF37 LCB37 LLX37 LVT37 MFP37 MPL37 MZH37 NJD37 NSZ37 OCV37 OMR37 OWN37 PGJ37 PQF37 QAB37 QJX37 QTT37 RDP37 RNL37 RXH37 SHD37 SQZ37 TAV37 TKR37 TUN37 UEJ37 UOF37 UYB37 VHX37 VRT37 WBP37 WLL37 WVH37 B65573 IV65573 SR65573 ACN65573 AMJ65573 AWF65573 BGB65573 BPX65573 BZT65573 CJP65573 CTL65573 DDH65573 DND65573 DWZ65573 EGV65573 EQR65573 FAN65573 FKJ65573 FUF65573 GEB65573 GNX65573 GXT65573 HHP65573 HRL65573 IBH65573 ILD65573 IUZ65573 JEV65573 JOR65573 JYN65573 KIJ65573 KSF65573 LCB65573 LLX65573 LVT65573 MFP65573 MPL65573 MZH65573 NJD65573 NSZ65573 OCV65573 OMR65573 OWN65573 PGJ65573 PQF65573 QAB65573 QJX65573 QTT65573 RDP65573 RNL65573 RXH65573 SHD65573 SQZ65573 TAV65573 TKR65573 TUN65573 UEJ65573 UOF65573 UYB65573 VHX65573 VRT65573 WBP65573 WLL65573 WVH65573 B131109 IV131109 SR131109 ACN131109 AMJ131109 AWF131109 BGB131109 BPX131109 BZT131109 CJP131109 CTL131109 DDH131109 DND131109 DWZ131109 EGV131109 EQR131109 FAN131109 FKJ131109 FUF131109 GEB131109 GNX131109 GXT131109 HHP131109 HRL131109 IBH131109 ILD131109 IUZ131109 JEV131109 JOR131109 JYN131109 KIJ131109 KSF131109 LCB131109 LLX131109 LVT131109 MFP131109 MPL131109 MZH131109 NJD131109 NSZ131109 OCV131109 OMR131109 OWN131109 PGJ131109 PQF131109 QAB131109 QJX131109 QTT131109 RDP131109 RNL131109 RXH131109 SHD131109 SQZ131109 TAV131109 TKR131109 TUN131109 UEJ131109 UOF131109 UYB131109 VHX131109 VRT131109 WBP131109 WLL131109 WVH131109 B196645 IV196645 SR196645 ACN196645 AMJ196645 AWF196645 BGB196645 BPX196645 BZT196645 CJP196645 CTL196645 DDH196645 DND196645 DWZ196645 EGV196645 EQR196645 FAN196645 FKJ196645 FUF196645 GEB196645 GNX196645 GXT196645 HHP196645 HRL196645 IBH196645 ILD196645 IUZ196645 JEV196645 JOR196645 JYN196645 KIJ196645 KSF196645 LCB196645 LLX196645 LVT196645 MFP196645 MPL196645 MZH196645 NJD196645 NSZ196645 OCV196645 OMR196645 OWN196645 PGJ196645 PQF196645 QAB196645 QJX196645 QTT196645 RDP196645 RNL196645 RXH196645 SHD196645 SQZ196645 TAV196645 TKR196645 TUN196645 UEJ196645 UOF196645 UYB196645 VHX196645 VRT196645 WBP196645 WLL196645 WVH196645 B262181 IV262181 SR262181 ACN262181 AMJ262181 AWF262181 BGB262181 BPX262181 BZT262181 CJP262181 CTL262181 DDH262181 DND262181 DWZ262181 EGV262181 EQR262181 FAN262181 FKJ262181 FUF262181 GEB262181 GNX262181 GXT262181 HHP262181 HRL262181 IBH262181 ILD262181 IUZ262181 JEV262181 JOR262181 JYN262181 KIJ262181 KSF262181 LCB262181 LLX262181 LVT262181 MFP262181 MPL262181 MZH262181 NJD262181 NSZ262181 OCV262181 OMR262181 OWN262181 PGJ262181 PQF262181 QAB262181 QJX262181 QTT262181 RDP262181 RNL262181 RXH262181 SHD262181 SQZ262181 TAV262181 TKR262181 TUN262181 UEJ262181 UOF262181 UYB262181 VHX262181 VRT262181 WBP262181 WLL262181 WVH262181 B327717 IV327717 SR327717 ACN327717 AMJ327717 AWF327717 BGB327717 BPX327717 BZT327717 CJP327717 CTL327717 DDH327717 DND327717 DWZ327717 EGV327717 EQR327717 FAN327717 FKJ327717 FUF327717 GEB327717 GNX327717 GXT327717 HHP327717 HRL327717 IBH327717 ILD327717 IUZ327717 JEV327717 JOR327717 JYN327717 KIJ327717 KSF327717 LCB327717 LLX327717 LVT327717 MFP327717 MPL327717 MZH327717 NJD327717 NSZ327717 OCV327717 OMR327717 OWN327717 PGJ327717 PQF327717 QAB327717 QJX327717 QTT327717 RDP327717 RNL327717 RXH327717 SHD327717 SQZ327717 TAV327717 TKR327717 TUN327717 UEJ327717 UOF327717 UYB327717 VHX327717 VRT327717 WBP327717 WLL327717 WVH327717 B393253 IV393253 SR393253 ACN393253 AMJ393253 AWF393253 BGB393253 BPX393253 BZT393253 CJP393253 CTL393253 DDH393253 DND393253 DWZ393253 EGV393253 EQR393253 FAN393253 FKJ393253 FUF393253 GEB393253 GNX393253 GXT393253 HHP393253 HRL393253 IBH393253 ILD393253 IUZ393253 JEV393253 JOR393253 JYN393253 KIJ393253 KSF393253 LCB393253 LLX393253 LVT393253 MFP393253 MPL393253 MZH393253 NJD393253 NSZ393253 OCV393253 OMR393253 OWN393253 PGJ393253 PQF393253 QAB393253 QJX393253 QTT393253 RDP393253 RNL393253 RXH393253 SHD393253 SQZ393253 TAV393253 TKR393253 TUN393253 UEJ393253 UOF393253 UYB393253 VHX393253 VRT393253 WBP393253 WLL393253 WVH393253 B458789 IV458789 SR458789 ACN458789 AMJ458789 AWF458789 BGB458789 BPX458789 BZT458789 CJP458789 CTL458789 DDH458789 DND458789 DWZ458789 EGV458789 EQR458789 FAN458789 FKJ458789 FUF458789 GEB458789 GNX458789 GXT458789 HHP458789 HRL458789 IBH458789 ILD458789 IUZ458789 JEV458789 JOR458789 JYN458789 KIJ458789 KSF458789 LCB458789 LLX458789 LVT458789 MFP458789 MPL458789 MZH458789 NJD458789 NSZ458789 OCV458789 OMR458789 OWN458789 PGJ458789 PQF458789 QAB458789 QJX458789 QTT458789 RDP458789 RNL458789 RXH458789 SHD458789 SQZ458789 TAV458789 TKR458789 TUN458789 UEJ458789 UOF458789 UYB458789 VHX458789 VRT458789 WBP458789 WLL458789 WVH458789 B524325 IV524325 SR524325 ACN524325 AMJ524325 AWF524325 BGB524325 BPX524325 BZT524325 CJP524325 CTL524325 DDH524325 DND524325 DWZ524325 EGV524325 EQR524325 FAN524325 FKJ524325 FUF524325 GEB524325 GNX524325 GXT524325 HHP524325 HRL524325 IBH524325 ILD524325 IUZ524325 JEV524325 JOR524325 JYN524325 KIJ524325 KSF524325 LCB524325 LLX524325 LVT524325 MFP524325 MPL524325 MZH524325 NJD524325 NSZ524325 OCV524325 OMR524325 OWN524325 PGJ524325 PQF524325 QAB524325 QJX524325 QTT524325 RDP524325 RNL524325 RXH524325 SHD524325 SQZ524325 TAV524325 TKR524325 TUN524325 UEJ524325 UOF524325 UYB524325 VHX524325 VRT524325 WBP524325 WLL524325 WVH524325 B589861 IV589861 SR589861 ACN589861 AMJ589861 AWF589861 BGB589861 BPX589861 BZT589861 CJP589861 CTL589861 DDH589861 DND589861 DWZ589861 EGV589861 EQR589861 FAN589861 FKJ589861 FUF589861 GEB589861 GNX589861 GXT589861 HHP589861 HRL589861 IBH589861 ILD589861 IUZ589861 JEV589861 JOR589861 JYN589861 KIJ589861 KSF589861 LCB589861 LLX589861 LVT589861 MFP589861 MPL589861 MZH589861 NJD589861 NSZ589861 OCV589861 OMR589861 OWN589861 PGJ589861 PQF589861 QAB589861 QJX589861 QTT589861 RDP589861 RNL589861 RXH589861 SHD589861 SQZ589861 TAV589861 TKR589861 TUN589861 UEJ589861 UOF589861 UYB589861 VHX589861 VRT589861 WBP589861 WLL589861 WVH589861 B655397 IV655397 SR655397 ACN655397 AMJ655397 AWF655397 BGB655397 BPX655397 BZT655397 CJP655397 CTL655397 DDH655397 DND655397 DWZ655397 EGV655397 EQR655397 FAN655397 FKJ655397 FUF655397 GEB655397 GNX655397 GXT655397 HHP655397 HRL655397 IBH655397 ILD655397 IUZ655397 JEV655397 JOR655397 JYN655397 KIJ655397 KSF655397 LCB655397 LLX655397 LVT655397 MFP655397 MPL655397 MZH655397 NJD655397 NSZ655397 OCV655397 OMR655397 OWN655397 PGJ655397 PQF655397 QAB655397 QJX655397 QTT655397 RDP655397 RNL655397 RXH655397 SHD655397 SQZ655397 TAV655397 TKR655397 TUN655397 UEJ655397 UOF655397 UYB655397 VHX655397 VRT655397 WBP655397 WLL655397 WVH655397 B720933 IV720933 SR720933 ACN720933 AMJ720933 AWF720933 BGB720933 BPX720933 BZT720933 CJP720933 CTL720933 DDH720933 DND720933 DWZ720933 EGV720933 EQR720933 FAN720933 FKJ720933 FUF720933 GEB720933 GNX720933 GXT720933 HHP720933 HRL720933 IBH720933 ILD720933 IUZ720933 JEV720933 JOR720933 JYN720933 KIJ720933 KSF720933 LCB720933 LLX720933 LVT720933 MFP720933 MPL720933 MZH720933 NJD720933 NSZ720933 OCV720933 OMR720933 OWN720933 PGJ720933 PQF720933 QAB720933 QJX720933 QTT720933 RDP720933 RNL720933 RXH720933 SHD720933 SQZ720933 TAV720933 TKR720933 TUN720933 UEJ720933 UOF720933 UYB720933 VHX720933 VRT720933 WBP720933 WLL720933 WVH720933 B786469 IV786469 SR786469 ACN786469 AMJ786469 AWF786469 BGB786469 BPX786469 BZT786469 CJP786469 CTL786469 DDH786469 DND786469 DWZ786469 EGV786469 EQR786469 FAN786469 FKJ786469 FUF786469 GEB786469 GNX786469 GXT786469 HHP786469 HRL786469 IBH786469 ILD786469 IUZ786469 JEV786469 JOR786469 JYN786469 KIJ786469 KSF786469 LCB786469 LLX786469 LVT786469 MFP786469 MPL786469 MZH786469 NJD786469 NSZ786469 OCV786469 OMR786469 OWN786469 PGJ786469 PQF786469 QAB786469 QJX786469 QTT786469 RDP786469 RNL786469 RXH786469 SHD786469 SQZ786469 TAV786469 TKR786469 TUN786469 UEJ786469 UOF786469 UYB786469 VHX786469 VRT786469 WBP786469 WLL786469 WVH786469 B852005 IV852005 SR852005 ACN852005 AMJ852005 AWF852005 BGB852005 BPX852005 BZT852005 CJP852005 CTL852005 DDH852005 DND852005 DWZ852005 EGV852005 EQR852005 FAN852005 FKJ852005 FUF852005 GEB852005 GNX852005 GXT852005 HHP852005 HRL852005 IBH852005 ILD852005 IUZ852005 JEV852005 JOR852005 JYN852005 KIJ852005 KSF852005 LCB852005 LLX852005 LVT852005 MFP852005 MPL852005 MZH852005 NJD852005 NSZ852005 OCV852005 OMR852005 OWN852005 PGJ852005 PQF852005 QAB852005 QJX852005 QTT852005 RDP852005 RNL852005 RXH852005 SHD852005 SQZ852005 TAV852005 TKR852005 TUN852005 UEJ852005 UOF852005 UYB852005 VHX852005 VRT852005 WBP852005 WLL852005 WVH852005 B917541 IV917541 SR917541 ACN917541 AMJ917541 AWF917541 BGB917541 BPX917541 BZT917541 CJP917541 CTL917541 DDH917541 DND917541 DWZ917541 EGV917541 EQR917541 FAN917541 FKJ917541 FUF917541 GEB917541 GNX917541 GXT917541 HHP917541 HRL917541 IBH917541 ILD917541 IUZ917541 JEV917541 JOR917541 JYN917541 KIJ917541 KSF917541 LCB917541 LLX917541 LVT917541 MFP917541 MPL917541 MZH917541 NJD917541 NSZ917541 OCV917541 OMR917541 OWN917541 PGJ917541 PQF917541 QAB917541 QJX917541 QTT917541 RDP917541 RNL917541 RXH917541 SHD917541 SQZ917541 TAV917541 TKR917541 TUN917541 UEJ917541 UOF917541 UYB917541 VHX917541 VRT917541 WBP917541 WLL917541 WVH917541 B983077 IV983077 SR983077 ACN983077 AMJ983077 AWF983077 BGB983077 BPX983077 BZT983077 CJP983077 CTL983077 DDH983077 DND983077 DWZ983077 EGV983077 EQR983077 FAN983077 FKJ983077 FUF983077 GEB983077 GNX983077 GXT983077 HHP983077 HRL983077 IBH983077 ILD983077 IUZ983077 JEV983077 JOR983077 JYN983077 KIJ983077 KSF983077 LCB983077 LLX983077 LVT983077 MFP983077 MPL983077 MZH983077 NJD983077 NSZ983077 OCV983077 OMR983077 OWN983077 PGJ983077 PQF983077 QAB983077 QJX983077 QTT983077 RDP983077 RNL983077 RXH983077 SHD983077 SQZ983077 TAV983077 TKR983077 TUN983077 UEJ983077 UOF983077 UYB983077 VHX983077 VRT983077 WBP983077 WLL983077 WVH983077" xr:uid="{A0FFB2FC-F7A4-44C5-9066-5E146450F402}">
      <formula1>$N$53:$N$57</formula1>
    </dataValidation>
    <dataValidation type="list" allowBlank="1" showInputMessage="1" showErrorMessage="1" sqref="B28 IV28 SR28 ACN28 AMJ28 AWF28 BGB28 BPX28 BZT28 CJP28 CTL28 DDH28 DND28 DWZ28 EGV28 EQR28 FAN28 FKJ28 FUF28 GEB28 GNX28 GXT28 HHP28 HRL28 IBH28 ILD28 IUZ28 JEV28 JOR28 JYN28 KIJ28 KSF28 LCB28 LLX28 LVT28 MFP28 MPL28 MZH28 NJD28 NSZ28 OCV28 OMR28 OWN28 PGJ28 PQF28 QAB28 QJX28 QTT28 RDP28 RNL28 RXH28 SHD28 SQZ28 TAV28 TKR28 TUN28 UEJ28 UOF28 UYB28 VHX28 VRT28 WBP28 WLL28 WVH28 B65564 IV65564 SR65564 ACN65564 AMJ65564 AWF65564 BGB65564 BPX65564 BZT65564 CJP65564 CTL65564 DDH65564 DND65564 DWZ65564 EGV65564 EQR65564 FAN65564 FKJ65564 FUF65564 GEB65564 GNX65564 GXT65564 HHP65564 HRL65564 IBH65564 ILD65564 IUZ65564 JEV65564 JOR65564 JYN65564 KIJ65564 KSF65564 LCB65564 LLX65564 LVT65564 MFP65564 MPL65564 MZH65564 NJD65564 NSZ65564 OCV65564 OMR65564 OWN65564 PGJ65564 PQF65564 QAB65564 QJX65564 QTT65564 RDP65564 RNL65564 RXH65564 SHD65564 SQZ65564 TAV65564 TKR65564 TUN65564 UEJ65564 UOF65564 UYB65564 VHX65564 VRT65564 WBP65564 WLL65564 WVH65564 B131100 IV131100 SR131100 ACN131100 AMJ131100 AWF131100 BGB131100 BPX131100 BZT131100 CJP131100 CTL131100 DDH131100 DND131100 DWZ131100 EGV131100 EQR131100 FAN131100 FKJ131100 FUF131100 GEB131100 GNX131100 GXT131100 HHP131100 HRL131100 IBH131100 ILD131100 IUZ131100 JEV131100 JOR131100 JYN131100 KIJ131100 KSF131100 LCB131100 LLX131100 LVT131100 MFP131100 MPL131100 MZH131100 NJD131100 NSZ131100 OCV131100 OMR131100 OWN131100 PGJ131100 PQF131100 QAB131100 QJX131100 QTT131100 RDP131100 RNL131100 RXH131100 SHD131100 SQZ131100 TAV131100 TKR131100 TUN131100 UEJ131100 UOF131100 UYB131100 VHX131100 VRT131100 WBP131100 WLL131100 WVH131100 B196636 IV196636 SR196636 ACN196636 AMJ196636 AWF196636 BGB196636 BPX196636 BZT196636 CJP196636 CTL196636 DDH196636 DND196636 DWZ196636 EGV196636 EQR196636 FAN196636 FKJ196636 FUF196636 GEB196636 GNX196636 GXT196636 HHP196636 HRL196636 IBH196636 ILD196636 IUZ196636 JEV196636 JOR196636 JYN196636 KIJ196636 KSF196636 LCB196636 LLX196636 LVT196636 MFP196636 MPL196636 MZH196636 NJD196636 NSZ196636 OCV196636 OMR196636 OWN196636 PGJ196636 PQF196636 QAB196636 QJX196636 QTT196636 RDP196636 RNL196636 RXH196636 SHD196636 SQZ196636 TAV196636 TKR196636 TUN196636 UEJ196636 UOF196636 UYB196636 VHX196636 VRT196636 WBP196636 WLL196636 WVH196636 B262172 IV262172 SR262172 ACN262172 AMJ262172 AWF262172 BGB262172 BPX262172 BZT262172 CJP262172 CTL262172 DDH262172 DND262172 DWZ262172 EGV262172 EQR262172 FAN262172 FKJ262172 FUF262172 GEB262172 GNX262172 GXT262172 HHP262172 HRL262172 IBH262172 ILD262172 IUZ262172 JEV262172 JOR262172 JYN262172 KIJ262172 KSF262172 LCB262172 LLX262172 LVT262172 MFP262172 MPL262172 MZH262172 NJD262172 NSZ262172 OCV262172 OMR262172 OWN262172 PGJ262172 PQF262172 QAB262172 QJX262172 QTT262172 RDP262172 RNL262172 RXH262172 SHD262172 SQZ262172 TAV262172 TKR262172 TUN262172 UEJ262172 UOF262172 UYB262172 VHX262172 VRT262172 WBP262172 WLL262172 WVH262172 B327708 IV327708 SR327708 ACN327708 AMJ327708 AWF327708 BGB327708 BPX327708 BZT327708 CJP327708 CTL327708 DDH327708 DND327708 DWZ327708 EGV327708 EQR327708 FAN327708 FKJ327708 FUF327708 GEB327708 GNX327708 GXT327708 HHP327708 HRL327708 IBH327708 ILD327708 IUZ327708 JEV327708 JOR327708 JYN327708 KIJ327708 KSF327708 LCB327708 LLX327708 LVT327708 MFP327708 MPL327708 MZH327708 NJD327708 NSZ327708 OCV327708 OMR327708 OWN327708 PGJ327708 PQF327708 QAB327708 QJX327708 QTT327708 RDP327708 RNL327708 RXH327708 SHD327708 SQZ327708 TAV327708 TKR327708 TUN327708 UEJ327708 UOF327708 UYB327708 VHX327708 VRT327708 WBP327708 WLL327708 WVH327708 B393244 IV393244 SR393244 ACN393244 AMJ393244 AWF393244 BGB393244 BPX393244 BZT393244 CJP393244 CTL393244 DDH393244 DND393244 DWZ393244 EGV393244 EQR393244 FAN393244 FKJ393244 FUF393244 GEB393244 GNX393244 GXT393244 HHP393244 HRL393244 IBH393244 ILD393244 IUZ393244 JEV393244 JOR393244 JYN393244 KIJ393244 KSF393244 LCB393244 LLX393244 LVT393244 MFP393244 MPL393244 MZH393244 NJD393244 NSZ393244 OCV393244 OMR393244 OWN393244 PGJ393244 PQF393244 QAB393244 QJX393244 QTT393244 RDP393244 RNL393244 RXH393244 SHD393244 SQZ393244 TAV393244 TKR393244 TUN393244 UEJ393244 UOF393244 UYB393244 VHX393244 VRT393244 WBP393244 WLL393244 WVH393244 B458780 IV458780 SR458780 ACN458780 AMJ458780 AWF458780 BGB458780 BPX458780 BZT458780 CJP458780 CTL458780 DDH458780 DND458780 DWZ458780 EGV458780 EQR458780 FAN458780 FKJ458780 FUF458780 GEB458780 GNX458780 GXT458780 HHP458780 HRL458780 IBH458780 ILD458780 IUZ458780 JEV458780 JOR458780 JYN458780 KIJ458780 KSF458780 LCB458780 LLX458780 LVT458780 MFP458780 MPL458780 MZH458780 NJD458780 NSZ458780 OCV458780 OMR458780 OWN458780 PGJ458780 PQF458780 QAB458780 QJX458780 QTT458780 RDP458780 RNL458780 RXH458780 SHD458780 SQZ458780 TAV458780 TKR458780 TUN458780 UEJ458780 UOF458780 UYB458780 VHX458780 VRT458780 WBP458780 WLL458780 WVH458780 B524316 IV524316 SR524316 ACN524316 AMJ524316 AWF524316 BGB524316 BPX524316 BZT524316 CJP524316 CTL524316 DDH524316 DND524316 DWZ524316 EGV524316 EQR524316 FAN524316 FKJ524316 FUF524316 GEB524316 GNX524316 GXT524316 HHP524316 HRL524316 IBH524316 ILD524316 IUZ524316 JEV524316 JOR524316 JYN524316 KIJ524316 KSF524316 LCB524316 LLX524316 LVT524316 MFP524316 MPL524316 MZH524316 NJD524316 NSZ524316 OCV524316 OMR524316 OWN524316 PGJ524316 PQF524316 QAB524316 QJX524316 QTT524316 RDP524316 RNL524316 RXH524316 SHD524316 SQZ524316 TAV524316 TKR524316 TUN524316 UEJ524316 UOF524316 UYB524316 VHX524316 VRT524316 WBP524316 WLL524316 WVH524316 B589852 IV589852 SR589852 ACN589852 AMJ589852 AWF589852 BGB589852 BPX589852 BZT589852 CJP589852 CTL589852 DDH589852 DND589852 DWZ589852 EGV589852 EQR589852 FAN589852 FKJ589852 FUF589852 GEB589852 GNX589852 GXT589852 HHP589852 HRL589852 IBH589852 ILD589852 IUZ589852 JEV589852 JOR589852 JYN589852 KIJ589852 KSF589852 LCB589852 LLX589852 LVT589852 MFP589852 MPL589852 MZH589852 NJD589852 NSZ589852 OCV589852 OMR589852 OWN589852 PGJ589852 PQF589852 QAB589852 QJX589852 QTT589852 RDP589852 RNL589852 RXH589852 SHD589852 SQZ589852 TAV589852 TKR589852 TUN589852 UEJ589852 UOF589852 UYB589852 VHX589852 VRT589852 WBP589852 WLL589852 WVH589852 B655388 IV655388 SR655388 ACN655388 AMJ655388 AWF655388 BGB655388 BPX655388 BZT655388 CJP655388 CTL655388 DDH655388 DND655388 DWZ655388 EGV655388 EQR655388 FAN655388 FKJ655388 FUF655388 GEB655388 GNX655388 GXT655388 HHP655388 HRL655388 IBH655388 ILD655388 IUZ655388 JEV655388 JOR655388 JYN655388 KIJ655388 KSF655388 LCB655388 LLX655388 LVT655388 MFP655388 MPL655388 MZH655388 NJD655388 NSZ655388 OCV655388 OMR655388 OWN655388 PGJ655388 PQF655388 QAB655388 QJX655388 QTT655388 RDP655388 RNL655388 RXH655388 SHD655388 SQZ655388 TAV655388 TKR655388 TUN655388 UEJ655388 UOF655388 UYB655388 VHX655388 VRT655388 WBP655388 WLL655388 WVH655388 B720924 IV720924 SR720924 ACN720924 AMJ720924 AWF720924 BGB720924 BPX720924 BZT720924 CJP720924 CTL720924 DDH720924 DND720924 DWZ720924 EGV720924 EQR720924 FAN720924 FKJ720924 FUF720924 GEB720924 GNX720924 GXT720924 HHP720924 HRL720924 IBH720924 ILD720924 IUZ720924 JEV720924 JOR720924 JYN720924 KIJ720924 KSF720924 LCB720924 LLX720924 LVT720924 MFP720924 MPL720924 MZH720924 NJD720924 NSZ720924 OCV720924 OMR720924 OWN720924 PGJ720924 PQF720924 QAB720924 QJX720924 QTT720924 RDP720924 RNL720924 RXH720924 SHD720924 SQZ720924 TAV720924 TKR720924 TUN720924 UEJ720924 UOF720924 UYB720924 VHX720924 VRT720924 WBP720924 WLL720924 WVH720924 B786460 IV786460 SR786460 ACN786460 AMJ786460 AWF786460 BGB786460 BPX786460 BZT786460 CJP786460 CTL786460 DDH786460 DND786460 DWZ786460 EGV786460 EQR786460 FAN786460 FKJ786460 FUF786460 GEB786460 GNX786460 GXT786460 HHP786460 HRL786460 IBH786460 ILD786460 IUZ786460 JEV786460 JOR786460 JYN786460 KIJ786460 KSF786460 LCB786460 LLX786460 LVT786460 MFP786460 MPL786460 MZH786460 NJD786460 NSZ786460 OCV786460 OMR786460 OWN786460 PGJ786460 PQF786460 QAB786460 QJX786460 QTT786460 RDP786460 RNL786460 RXH786460 SHD786460 SQZ786460 TAV786460 TKR786460 TUN786460 UEJ786460 UOF786460 UYB786460 VHX786460 VRT786460 WBP786460 WLL786460 WVH786460 B851996 IV851996 SR851996 ACN851996 AMJ851996 AWF851996 BGB851996 BPX851996 BZT851996 CJP851996 CTL851996 DDH851996 DND851996 DWZ851996 EGV851996 EQR851996 FAN851996 FKJ851996 FUF851996 GEB851996 GNX851996 GXT851996 HHP851996 HRL851996 IBH851996 ILD851996 IUZ851996 JEV851996 JOR851996 JYN851996 KIJ851996 KSF851996 LCB851996 LLX851996 LVT851996 MFP851996 MPL851996 MZH851996 NJD851996 NSZ851996 OCV851996 OMR851996 OWN851996 PGJ851996 PQF851996 QAB851996 QJX851996 QTT851996 RDP851996 RNL851996 RXH851996 SHD851996 SQZ851996 TAV851996 TKR851996 TUN851996 UEJ851996 UOF851996 UYB851996 VHX851996 VRT851996 WBP851996 WLL851996 WVH851996 B917532 IV917532 SR917532 ACN917532 AMJ917532 AWF917532 BGB917532 BPX917532 BZT917532 CJP917532 CTL917532 DDH917532 DND917532 DWZ917532 EGV917532 EQR917532 FAN917532 FKJ917532 FUF917532 GEB917532 GNX917532 GXT917532 HHP917532 HRL917532 IBH917532 ILD917532 IUZ917532 JEV917532 JOR917532 JYN917532 KIJ917532 KSF917532 LCB917532 LLX917532 LVT917532 MFP917532 MPL917532 MZH917532 NJD917532 NSZ917532 OCV917532 OMR917532 OWN917532 PGJ917532 PQF917532 QAB917532 QJX917532 QTT917532 RDP917532 RNL917532 RXH917532 SHD917532 SQZ917532 TAV917532 TKR917532 TUN917532 UEJ917532 UOF917532 UYB917532 VHX917532 VRT917532 WBP917532 WLL917532 WVH917532 B983068 IV983068 SR983068 ACN983068 AMJ983068 AWF983068 BGB983068 BPX983068 BZT983068 CJP983068 CTL983068 DDH983068 DND983068 DWZ983068 EGV983068 EQR983068 FAN983068 FKJ983068 FUF983068 GEB983068 GNX983068 GXT983068 HHP983068 HRL983068 IBH983068 ILD983068 IUZ983068 JEV983068 JOR983068 JYN983068 KIJ983068 KSF983068 LCB983068 LLX983068 LVT983068 MFP983068 MPL983068 MZH983068 NJD983068 NSZ983068 OCV983068 OMR983068 OWN983068 PGJ983068 PQF983068 QAB983068 QJX983068 QTT983068 RDP983068 RNL983068 RXH983068 SHD983068 SQZ983068 TAV983068 TKR983068 TUN983068 UEJ983068 UOF983068 UYB983068 VHX983068 VRT983068 WBP983068 WLL983068 WVH983068" xr:uid="{126063FE-9E64-49A4-A0B1-84F99C1935CF}">
      <formula1>$N$46:$N$50</formula1>
    </dataValidation>
    <dataValidation type="list" allowBlank="1" showInputMessage="1" showErrorMessage="1" sqref="B30 IV30 SR30 ACN30 AMJ30 AWF30 BGB30 BPX30 BZT30 CJP30 CTL30 DDH30 DND30 DWZ30 EGV30 EQR30 FAN30 FKJ30 FUF30 GEB30 GNX30 GXT30 HHP30 HRL30 IBH30 ILD30 IUZ30 JEV30 JOR30 JYN30 KIJ30 KSF30 LCB30 LLX30 LVT30 MFP30 MPL30 MZH30 NJD30 NSZ30 OCV30 OMR30 OWN30 PGJ30 PQF30 QAB30 QJX30 QTT30 RDP30 RNL30 RXH30 SHD30 SQZ30 TAV30 TKR30 TUN30 UEJ30 UOF30 UYB30 VHX30 VRT30 WBP30 WLL30 WVH30 B65566 IV65566 SR65566 ACN65566 AMJ65566 AWF65566 BGB65566 BPX65566 BZT65566 CJP65566 CTL65566 DDH65566 DND65566 DWZ65566 EGV65566 EQR65566 FAN65566 FKJ65566 FUF65566 GEB65566 GNX65566 GXT65566 HHP65566 HRL65566 IBH65566 ILD65566 IUZ65566 JEV65566 JOR65566 JYN65566 KIJ65566 KSF65566 LCB65566 LLX65566 LVT65566 MFP65566 MPL65566 MZH65566 NJD65566 NSZ65566 OCV65566 OMR65566 OWN65566 PGJ65566 PQF65566 QAB65566 QJX65566 QTT65566 RDP65566 RNL65566 RXH65566 SHD65566 SQZ65566 TAV65566 TKR65566 TUN65566 UEJ65566 UOF65566 UYB65566 VHX65566 VRT65566 WBP65566 WLL65566 WVH65566 B131102 IV131102 SR131102 ACN131102 AMJ131102 AWF131102 BGB131102 BPX131102 BZT131102 CJP131102 CTL131102 DDH131102 DND131102 DWZ131102 EGV131102 EQR131102 FAN131102 FKJ131102 FUF131102 GEB131102 GNX131102 GXT131102 HHP131102 HRL131102 IBH131102 ILD131102 IUZ131102 JEV131102 JOR131102 JYN131102 KIJ131102 KSF131102 LCB131102 LLX131102 LVT131102 MFP131102 MPL131102 MZH131102 NJD131102 NSZ131102 OCV131102 OMR131102 OWN131102 PGJ131102 PQF131102 QAB131102 QJX131102 QTT131102 RDP131102 RNL131102 RXH131102 SHD131102 SQZ131102 TAV131102 TKR131102 TUN131102 UEJ131102 UOF131102 UYB131102 VHX131102 VRT131102 WBP131102 WLL131102 WVH131102 B196638 IV196638 SR196638 ACN196638 AMJ196638 AWF196638 BGB196638 BPX196638 BZT196638 CJP196638 CTL196638 DDH196638 DND196638 DWZ196638 EGV196638 EQR196638 FAN196638 FKJ196638 FUF196638 GEB196638 GNX196638 GXT196638 HHP196638 HRL196638 IBH196638 ILD196638 IUZ196638 JEV196638 JOR196638 JYN196638 KIJ196638 KSF196638 LCB196638 LLX196638 LVT196638 MFP196638 MPL196638 MZH196638 NJD196638 NSZ196638 OCV196638 OMR196638 OWN196638 PGJ196638 PQF196638 QAB196638 QJX196638 QTT196638 RDP196638 RNL196638 RXH196638 SHD196638 SQZ196638 TAV196638 TKR196638 TUN196638 UEJ196638 UOF196638 UYB196638 VHX196638 VRT196638 WBP196638 WLL196638 WVH196638 B262174 IV262174 SR262174 ACN262174 AMJ262174 AWF262174 BGB262174 BPX262174 BZT262174 CJP262174 CTL262174 DDH262174 DND262174 DWZ262174 EGV262174 EQR262174 FAN262174 FKJ262174 FUF262174 GEB262174 GNX262174 GXT262174 HHP262174 HRL262174 IBH262174 ILD262174 IUZ262174 JEV262174 JOR262174 JYN262174 KIJ262174 KSF262174 LCB262174 LLX262174 LVT262174 MFP262174 MPL262174 MZH262174 NJD262174 NSZ262174 OCV262174 OMR262174 OWN262174 PGJ262174 PQF262174 QAB262174 QJX262174 QTT262174 RDP262174 RNL262174 RXH262174 SHD262174 SQZ262174 TAV262174 TKR262174 TUN262174 UEJ262174 UOF262174 UYB262174 VHX262174 VRT262174 WBP262174 WLL262174 WVH262174 B327710 IV327710 SR327710 ACN327710 AMJ327710 AWF327710 BGB327710 BPX327710 BZT327710 CJP327710 CTL327710 DDH327710 DND327710 DWZ327710 EGV327710 EQR327710 FAN327710 FKJ327710 FUF327710 GEB327710 GNX327710 GXT327710 HHP327710 HRL327710 IBH327710 ILD327710 IUZ327710 JEV327710 JOR327710 JYN327710 KIJ327710 KSF327710 LCB327710 LLX327710 LVT327710 MFP327710 MPL327710 MZH327710 NJD327710 NSZ327710 OCV327710 OMR327710 OWN327710 PGJ327710 PQF327710 QAB327710 QJX327710 QTT327710 RDP327710 RNL327710 RXH327710 SHD327710 SQZ327710 TAV327710 TKR327710 TUN327710 UEJ327710 UOF327710 UYB327710 VHX327710 VRT327710 WBP327710 WLL327710 WVH327710 B393246 IV393246 SR393246 ACN393246 AMJ393246 AWF393246 BGB393246 BPX393246 BZT393246 CJP393246 CTL393246 DDH393246 DND393246 DWZ393246 EGV393246 EQR393246 FAN393246 FKJ393246 FUF393246 GEB393246 GNX393246 GXT393246 HHP393246 HRL393246 IBH393246 ILD393246 IUZ393246 JEV393246 JOR393246 JYN393246 KIJ393246 KSF393246 LCB393246 LLX393246 LVT393246 MFP393246 MPL393246 MZH393246 NJD393246 NSZ393246 OCV393246 OMR393246 OWN393246 PGJ393246 PQF393246 QAB393246 QJX393246 QTT393246 RDP393246 RNL393246 RXH393246 SHD393246 SQZ393246 TAV393246 TKR393246 TUN393246 UEJ393246 UOF393246 UYB393246 VHX393246 VRT393246 WBP393246 WLL393246 WVH393246 B458782 IV458782 SR458782 ACN458782 AMJ458782 AWF458782 BGB458782 BPX458782 BZT458782 CJP458782 CTL458782 DDH458782 DND458782 DWZ458782 EGV458782 EQR458782 FAN458782 FKJ458782 FUF458782 GEB458782 GNX458782 GXT458782 HHP458782 HRL458782 IBH458782 ILD458782 IUZ458782 JEV458782 JOR458782 JYN458782 KIJ458782 KSF458782 LCB458782 LLX458782 LVT458782 MFP458782 MPL458782 MZH458782 NJD458782 NSZ458782 OCV458782 OMR458782 OWN458782 PGJ458782 PQF458782 QAB458782 QJX458782 QTT458782 RDP458782 RNL458782 RXH458782 SHD458782 SQZ458782 TAV458782 TKR458782 TUN458782 UEJ458782 UOF458782 UYB458782 VHX458782 VRT458782 WBP458782 WLL458782 WVH458782 B524318 IV524318 SR524318 ACN524318 AMJ524318 AWF524318 BGB524318 BPX524318 BZT524318 CJP524318 CTL524318 DDH524318 DND524318 DWZ524318 EGV524318 EQR524318 FAN524318 FKJ524318 FUF524318 GEB524318 GNX524318 GXT524318 HHP524318 HRL524318 IBH524318 ILD524318 IUZ524318 JEV524318 JOR524318 JYN524318 KIJ524318 KSF524318 LCB524318 LLX524318 LVT524318 MFP524318 MPL524318 MZH524318 NJD524318 NSZ524318 OCV524318 OMR524318 OWN524318 PGJ524318 PQF524318 QAB524318 QJX524318 QTT524318 RDP524318 RNL524318 RXH524318 SHD524318 SQZ524318 TAV524318 TKR524318 TUN524318 UEJ524318 UOF524318 UYB524318 VHX524318 VRT524318 WBP524318 WLL524318 WVH524318 B589854 IV589854 SR589854 ACN589854 AMJ589854 AWF589854 BGB589854 BPX589854 BZT589854 CJP589854 CTL589854 DDH589854 DND589854 DWZ589854 EGV589854 EQR589854 FAN589854 FKJ589854 FUF589854 GEB589854 GNX589854 GXT589854 HHP589854 HRL589854 IBH589854 ILD589854 IUZ589854 JEV589854 JOR589854 JYN589854 KIJ589854 KSF589854 LCB589854 LLX589854 LVT589854 MFP589854 MPL589854 MZH589854 NJD589854 NSZ589854 OCV589854 OMR589854 OWN589854 PGJ589854 PQF589854 QAB589854 QJX589854 QTT589854 RDP589854 RNL589854 RXH589854 SHD589854 SQZ589854 TAV589854 TKR589854 TUN589854 UEJ589854 UOF589854 UYB589854 VHX589854 VRT589854 WBP589854 WLL589854 WVH589854 B655390 IV655390 SR655390 ACN655390 AMJ655390 AWF655390 BGB655390 BPX655390 BZT655390 CJP655390 CTL655390 DDH655390 DND655390 DWZ655390 EGV655390 EQR655390 FAN655390 FKJ655390 FUF655390 GEB655390 GNX655390 GXT655390 HHP655390 HRL655390 IBH655390 ILD655390 IUZ655390 JEV655390 JOR655390 JYN655390 KIJ655390 KSF655390 LCB655390 LLX655390 LVT655390 MFP655390 MPL655390 MZH655390 NJD655390 NSZ655390 OCV655390 OMR655390 OWN655390 PGJ655390 PQF655390 QAB655390 QJX655390 QTT655390 RDP655390 RNL655390 RXH655390 SHD655390 SQZ655390 TAV655390 TKR655390 TUN655390 UEJ655390 UOF655390 UYB655390 VHX655390 VRT655390 WBP655390 WLL655390 WVH655390 B720926 IV720926 SR720926 ACN720926 AMJ720926 AWF720926 BGB720926 BPX720926 BZT720926 CJP720926 CTL720926 DDH720926 DND720926 DWZ720926 EGV720926 EQR720926 FAN720926 FKJ720926 FUF720926 GEB720926 GNX720926 GXT720926 HHP720926 HRL720926 IBH720926 ILD720926 IUZ720926 JEV720926 JOR720926 JYN720926 KIJ720926 KSF720926 LCB720926 LLX720926 LVT720926 MFP720926 MPL720926 MZH720926 NJD720926 NSZ720926 OCV720926 OMR720926 OWN720926 PGJ720926 PQF720926 QAB720926 QJX720926 QTT720926 RDP720926 RNL720926 RXH720926 SHD720926 SQZ720926 TAV720926 TKR720926 TUN720926 UEJ720926 UOF720926 UYB720926 VHX720926 VRT720926 WBP720926 WLL720926 WVH720926 B786462 IV786462 SR786462 ACN786462 AMJ786462 AWF786462 BGB786462 BPX786462 BZT786462 CJP786462 CTL786462 DDH786462 DND786462 DWZ786462 EGV786462 EQR786462 FAN786462 FKJ786462 FUF786462 GEB786462 GNX786462 GXT786462 HHP786462 HRL786462 IBH786462 ILD786462 IUZ786462 JEV786462 JOR786462 JYN786462 KIJ786462 KSF786462 LCB786462 LLX786462 LVT786462 MFP786462 MPL786462 MZH786462 NJD786462 NSZ786462 OCV786462 OMR786462 OWN786462 PGJ786462 PQF786462 QAB786462 QJX786462 QTT786462 RDP786462 RNL786462 RXH786462 SHD786462 SQZ786462 TAV786462 TKR786462 TUN786462 UEJ786462 UOF786462 UYB786462 VHX786462 VRT786462 WBP786462 WLL786462 WVH786462 B851998 IV851998 SR851998 ACN851998 AMJ851998 AWF851998 BGB851998 BPX851998 BZT851998 CJP851998 CTL851998 DDH851998 DND851998 DWZ851998 EGV851998 EQR851998 FAN851998 FKJ851998 FUF851998 GEB851998 GNX851998 GXT851998 HHP851998 HRL851998 IBH851998 ILD851998 IUZ851998 JEV851998 JOR851998 JYN851998 KIJ851998 KSF851998 LCB851998 LLX851998 LVT851998 MFP851998 MPL851998 MZH851998 NJD851998 NSZ851998 OCV851998 OMR851998 OWN851998 PGJ851998 PQF851998 QAB851998 QJX851998 QTT851998 RDP851998 RNL851998 RXH851998 SHD851998 SQZ851998 TAV851998 TKR851998 TUN851998 UEJ851998 UOF851998 UYB851998 VHX851998 VRT851998 WBP851998 WLL851998 WVH851998 B917534 IV917534 SR917534 ACN917534 AMJ917534 AWF917534 BGB917534 BPX917534 BZT917534 CJP917534 CTL917534 DDH917534 DND917534 DWZ917534 EGV917534 EQR917534 FAN917534 FKJ917534 FUF917534 GEB917534 GNX917534 GXT917534 HHP917534 HRL917534 IBH917534 ILD917534 IUZ917534 JEV917534 JOR917534 JYN917534 KIJ917534 KSF917534 LCB917534 LLX917534 LVT917534 MFP917534 MPL917534 MZH917534 NJD917534 NSZ917534 OCV917534 OMR917534 OWN917534 PGJ917534 PQF917534 QAB917534 QJX917534 QTT917534 RDP917534 RNL917534 RXH917534 SHD917534 SQZ917534 TAV917534 TKR917534 TUN917534 UEJ917534 UOF917534 UYB917534 VHX917534 VRT917534 WBP917534 WLL917534 WVH917534 B983070 IV983070 SR983070 ACN983070 AMJ983070 AWF983070 BGB983070 BPX983070 BZT983070 CJP983070 CTL983070 DDH983070 DND983070 DWZ983070 EGV983070 EQR983070 FAN983070 FKJ983070 FUF983070 GEB983070 GNX983070 GXT983070 HHP983070 HRL983070 IBH983070 ILD983070 IUZ983070 JEV983070 JOR983070 JYN983070 KIJ983070 KSF983070 LCB983070 LLX983070 LVT983070 MFP983070 MPL983070 MZH983070 NJD983070 NSZ983070 OCV983070 OMR983070 OWN983070 PGJ983070 PQF983070 QAB983070 QJX983070 QTT983070 RDP983070 RNL983070 RXH983070 SHD983070 SQZ983070 TAV983070 TKR983070 TUN983070 UEJ983070 UOF983070 UYB983070 VHX983070 VRT983070 WBP983070 WLL983070 WVH983070" xr:uid="{19CD1E8D-07D6-4B64-8765-1A1F1C9EED4C}">
      <formula1>$N$29:$N$38</formula1>
    </dataValidation>
    <dataValidation type="list" allowBlank="1" showInputMessage="1" showErrorMessage="1" sqref="B35 IV35 SR35 ACN35 AMJ35 AWF35 BGB35 BPX35 BZT35 CJP35 CTL35 DDH35 DND35 DWZ35 EGV35 EQR35 FAN35 FKJ35 FUF35 GEB35 GNX35 GXT35 HHP35 HRL35 IBH35 ILD35 IUZ35 JEV35 JOR35 JYN35 KIJ35 KSF35 LCB35 LLX35 LVT35 MFP35 MPL35 MZH35 NJD35 NSZ35 OCV35 OMR35 OWN35 PGJ35 PQF35 QAB35 QJX35 QTT35 RDP35 RNL35 RXH35 SHD35 SQZ35 TAV35 TKR35 TUN35 UEJ35 UOF35 UYB35 VHX35 VRT35 WBP35 WLL35 WVH35 B65571 IV65571 SR65571 ACN65571 AMJ65571 AWF65571 BGB65571 BPX65571 BZT65571 CJP65571 CTL65571 DDH65571 DND65571 DWZ65571 EGV65571 EQR65571 FAN65571 FKJ65571 FUF65571 GEB65571 GNX65571 GXT65571 HHP65571 HRL65571 IBH65571 ILD65571 IUZ65571 JEV65571 JOR65571 JYN65571 KIJ65571 KSF65571 LCB65571 LLX65571 LVT65571 MFP65571 MPL65571 MZH65571 NJD65571 NSZ65571 OCV65571 OMR65571 OWN65571 PGJ65571 PQF65571 QAB65571 QJX65571 QTT65571 RDP65571 RNL65571 RXH65571 SHD65571 SQZ65571 TAV65571 TKR65571 TUN65571 UEJ65571 UOF65571 UYB65571 VHX65571 VRT65571 WBP65571 WLL65571 WVH65571 B131107 IV131107 SR131107 ACN131107 AMJ131107 AWF131107 BGB131107 BPX131107 BZT131107 CJP131107 CTL131107 DDH131107 DND131107 DWZ131107 EGV131107 EQR131107 FAN131107 FKJ131107 FUF131107 GEB131107 GNX131107 GXT131107 HHP131107 HRL131107 IBH131107 ILD131107 IUZ131107 JEV131107 JOR131107 JYN131107 KIJ131107 KSF131107 LCB131107 LLX131107 LVT131107 MFP131107 MPL131107 MZH131107 NJD131107 NSZ131107 OCV131107 OMR131107 OWN131107 PGJ131107 PQF131107 QAB131107 QJX131107 QTT131107 RDP131107 RNL131107 RXH131107 SHD131107 SQZ131107 TAV131107 TKR131107 TUN131107 UEJ131107 UOF131107 UYB131107 VHX131107 VRT131107 WBP131107 WLL131107 WVH131107 B196643 IV196643 SR196643 ACN196643 AMJ196643 AWF196643 BGB196643 BPX196643 BZT196643 CJP196643 CTL196643 DDH196643 DND196643 DWZ196643 EGV196643 EQR196643 FAN196643 FKJ196643 FUF196643 GEB196643 GNX196643 GXT196643 HHP196643 HRL196643 IBH196643 ILD196643 IUZ196643 JEV196643 JOR196643 JYN196643 KIJ196643 KSF196643 LCB196643 LLX196643 LVT196643 MFP196643 MPL196643 MZH196643 NJD196643 NSZ196643 OCV196643 OMR196643 OWN196643 PGJ196643 PQF196643 QAB196643 QJX196643 QTT196643 RDP196643 RNL196643 RXH196643 SHD196643 SQZ196643 TAV196643 TKR196643 TUN196643 UEJ196643 UOF196643 UYB196643 VHX196643 VRT196643 WBP196643 WLL196643 WVH196643 B262179 IV262179 SR262179 ACN262179 AMJ262179 AWF262179 BGB262179 BPX262179 BZT262179 CJP262179 CTL262179 DDH262179 DND262179 DWZ262179 EGV262179 EQR262179 FAN262179 FKJ262179 FUF262179 GEB262179 GNX262179 GXT262179 HHP262179 HRL262179 IBH262179 ILD262179 IUZ262179 JEV262179 JOR262179 JYN262179 KIJ262179 KSF262179 LCB262179 LLX262179 LVT262179 MFP262179 MPL262179 MZH262179 NJD262179 NSZ262179 OCV262179 OMR262179 OWN262179 PGJ262179 PQF262179 QAB262179 QJX262179 QTT262179 RDP262179 RNL262179 RXH262179 SHD262179 SQZ262179 TAV262179 TKR262179 TUN262179 UEJ262179 UOF262179 UYB262179 VHX262179 VRT262179 WBP262179 WLL262179 WVH262179 B327715 IV327715 SR327715 ACN327715 AMJ327715 AWF327715 BGB327715 BPX327715 BZT327715 CJP327715 CTL327715 DDH327715 DND327715 DWZ327715 EGV327715 EQR327715 FAN327715 FKJ327715 FUF327715 GEB327715 GNX327715 GXT327715 HHP327715 HRL327715 IBH327715 ILD327715 IUZ327715 JEV327715 JOR327715 JYN327715 KIJ327715 KSF327715 LCB327715 LLX327715 LVT327715 MFP327715 MPL327715 MZH327715 NJD327715 NSZ327715 OCV327715 OMR327715 OWN327715 PGJ327715 PQF327715 QAB327715 QJX327715 QTT327715 RDP327715 RNL327715 RXH327715 SHD327715 SQZ327715 TAV327715 TKR327715 TUN327715 UEJ327715 UOF327715 UYB327715 VHX327715 VRT327715 WBP327715 WLL327715 WVH327715 B393251 IV393251 SR393251 ACN393251 AMJ393251 AWF393251 BGB393251 BPX393251 BZT393251 CJP393251 CTL393251 DDH393251 DND393251 DWZ393251 EGV393251 EQR393251 FAN393251 FKJ393251 FUF393251 GEB393251 GNX393251 GXT393251 HHP393251 HRL393251 IBH393251 ILD393251 IUZ393251 JEV393251 JOR393251 JYN393251 KIJ393251 KSF393251 LCB393251 LLX393251 LVT393251 MFP393251 MPL393251 MZH393251 NJD393251 NSZ393251 OCV393251 OMR393251 OWN393251 PGJ393251 PQF393251 QAB393251 QJX393251 QTT393251 RDP393251 RNL393251 RXH393251 SHD393251 SQZ393251 TAV393251 TKR393251 TUN393251 UEJ393251 UOF393251 UYB393251 VHX393251 VRT393251 WBP393251 WLL393251 WVH393251 B458787 IV458787 SR458787 ACN458787 AMJ458787 AWF458787 BGB458787 BPX458787 BZT458787 CJP458787 CTL458787 DDH458787 DND458787 DWZ458787 EGV458787 EQR458787 FAN458787 FKJ458787 FUF458787 GEB458787 GNX458787 GXT458787 HHP458787 HRL458787 IBH458787 ILD458787 IUZ458787 JEV458787 JOR458787 JYN458787 KIJ458787 KSF458787 LCB458787 LLX458787 LVT458787 MFP458787 MPL458787 MZH458787 NJD458787 NSZ458787 OCV458787 OMR458787 OWN458787 PGJ458787 PQF458787 QAB458787 QJX458787 QTT458787 RDP458787 RNL458787 RXH458787 SHD458787 SQZ458787 TAV458787 TKR458787 TUN458787 UEJ458787 UOF458787 UYB458787 VHX458787 VRT458787 WBP458787 WLL458787 WVH458787 B524323 IV524323 SR524323 ACN524323 AMJ524323 AWF524323 BGB524323 BPX524323 BZT524323 CJP524323 CTL524323 DDH524323 DND524323 DWZ524323 EGV524323 EQR524323 FAN524323 FKJ524323 FUF524323 GEB524323 GNX524323 GXT524323 HHP524323 HRL524323 IBH524323 ILD524323 IUZ524323 JEV524323 JOR524323 JYN524323 KIJ524323 KSF524323 LCB524323 LLX524323 LVT524323 MFP524323 MPL524323 MZH524323 NJD524323 NSZ524323 OCV524323 OMR524323 OWN524323 PGJ524323 PQF524323 QAB524323 QJX524323 QTT524323 RDP524323 RNL524323 RXH524323 SHD524323 SQZ524323 TAV524323 TKR524323 TUN524323 UEJ524323 UOF524323 UYB524323 VHX524323 VRT524323 WBP524323 WLL524323 WVH524323 B589859 IV589859 SR589859 ACN589859 AMJ589859 AWF589859 BGB589859 BPX589859 BZT589859 CJP589859 CTL589859 DDH589859 DND589859 DWZ589859 EGV589859 EQR589859 FAN589859 FKJ589859 FUF589859 GEB589859 GNX589859 GXT589859 HHP589859 HRL589859 IBH589859 ILD589859 IUZ589859 JEV589859 JOR589859 JYN589859 KIJ589859 KSF589859 LCB589859 LLX589859 LVT589859 MFP589859 MPL589859 MZH589859 NJD589859 NSZ589859 OCV589859 OMR589859 OWN589859 PGJ589859 PQF589859 QAB589859 QJX589859 QTT589859 RDP589859 RNL589859 RXH589859 SHD589859 SQZ589859 TAV589859 TKR589859 TUN589859 UEJ589859 UOF589859 UYB589859 VHX589859 VRT589859 WBP589859 WLL589859 WVH589859 B655395 IV655395 SR655395 ACN655395 AMJ655395 AWF655395 BGB655395 BPX655395 BZT655395 CJP655395 CTL655395 DDH655395 DND655395 DWZ655395 EGV655395 EQR655395 FAN655395 FKJ655395 FUF655395 GEB655395 GNX655395 GXT655395 HHP655395 HRL655395 IBH655395 ILD655395 IUZ655395 JEV655395 JOR655395 JYN655395 KIJ655395 KSF655395 LCB655395 LLX655395 LVT655395 MFP655395 MPL655395 MZH655395 NJD655395 NSZ655395 OCV655395 OMR655395 OWN655395 PGJ655395 PQF655395 QAB655395 QJX655395 QTT655395 RDP655395 RNL655395 RXH655395 SHD655395 SQZ655395 TAV655395 TKR655395 TUN655395 UEJ655395 UOF655395 UYB655395 VHX655395 VRT655395 WBP655395 WLL655395 WVH655395 B720931 IV720931 SR720931 ACN720931 AMJ720931 AWF720931 BGB720931 BPX720931 BZT720931 CJP720931 CTL720931 DDH720931 DND720931 DWZ720931 EGV720931 EQR720931 FAN720931 FKJ720931 FUF720931 GEB720931 GNX720931 GXT720931 HHP720931 HRL720931 IBH720931 ILD720931 IUZ720931 JEV720931 JOR720931 JYN720931 KIJ720931 KSF720931 LCB720931 LLX720931 LVT720931 MFP720931 MPL720931 MZH720931 NJD720931 NSZ720931 OCV720931 OMR720931 OWN720931 PGJ720931 PQF720931 QAB720931 QJX720931 QTT720931 RDP720931 RNL720931 RXH720931 SHD720931 SQZ720931 TAV720931 TKR720931 TUN720931 UEJ720931 UOF720931 UYB720931 VHX720931 VRT720931 WBP720931 WLL720931 WVH720931 B786467 IV786467 SR786467 ACN786467 AMJ786467 AWF786467 BGB786467 BPX786467 BZT786467 CJP786467 CTL786467 DDH786467 DND786467 DWZ786467 EGV786467 EQR786467 FAN786467 FKJ786467 FUF786467 GEB786467 GNX786467 GXT786467 HHP786467 HRL786467 IBH786467 ILD786467 IUZ786467 JEV786467 JOR786467 JYN786467 KIJ786467 KSF786467 LCB786467 LLX786467 LVT786467 MFP786467 MPL786467 MZH786467 NJD786467 NSZ786467 OCV786467 OMR786467 OWN786467 PGJ786467 PQF786467 QAB786467 QJX786467 QTT786467 RDP786467 RNL786467 RXH786467 SHD786467 SQZ786467 TAV786467 TKR786467 TUN786467 UEJ786467 UOF786467 UYB786467 VHX786467 VRT786467 WBP786467 WLL786467 WVH786467 B852003 IV852003 SR852003 ACN852003 AMJ852003 AWF852003 BGB852003 BPX852003 BZT852003 CJP852003 CTL852003 DDH852003 DND852003 DWZ852003 EGV852003 EQR852003 FAN852003 FKJ852003 FUF852003 GEB852003 GNX852003 GXT852003 HHP852003 HRL852003 IBH852003 ILD852003 IUZ852003 JEV852003 JOR852003 JYN852003 KIJ852003 KSF852003 LCB852003 LLX852003 LVT852003 MFP852003 MPL852003 MZH852003 NJD852003 NSZ852003 OCV852003 OMR852003 OWN852003 PGJ852003 PQF852003 QAB852003 QJX852003 QTT852003 RDP852003 RNL852003 RXH852003 SHD852003 SQZ852003 TAV852003 TKR852003 TUN852003 UEJ852003 UOF852003 UYB852003 VHX852003 VRT852003 WBP852003 WLL852003 WVH852003 B917539 IV917539 SR917539 ACN917539 AMJ917539 AWF917539 BGB917539 BPX917539 BZT917539 CJP917539 CTL917539 DDH917539 DND917539 DWZ917539 EGV917539 EQR917539 FAN917539 FKJ917539 FUF917539 GEB917539 GNX917539 GXT917539 HHP917539 HRL917539 IBH917539 ILD917539 IUZ917539 JEV917539 JOR917539 JYN917539 KIJ917539 KSF917539 LCB917539 LLX917539 LVT917539 MFP917539 MPL917539 MZH917539 NJD917539 NSZ917539 OCV917539 OMR917539 OWN917539 PGJ917539 PQF917539 QAB917539 QJX917539 QTT917539 RDP917539 RNL917539 RXH917539 SHD917539 SQZ917539 TAV917539 TKR917539 TUN917539 UEJ917539 UOF917539 UYB917539 VHX917539 VRT917539 WBP917539 WLL917539 WVH917539 B983075 IV983075 SR983075 ACN983075 AMJ983075 AWF983075 BGB983075 BPX983075 BZT983075 CJP983075 CTL983075 DDH983075 DND983075 DWZ983075 EGV983075 EQR983075 FAN983075 FKJ983075 FUF983075 GEB983075 GNX983075 GXT983075 HHP983075 HRL983075 IBH983075 ILD983075 IUZ983075 JEV983075 JOR983075 JYN983075 KIJ983075 KSF983075 LCB983075 LLX983075 LVT983075 MFP983075 MPL983075 MZH983075 NJD983075 NSZ983075 OCV983075 OMR983075 OWN983075 PGJ983075 PQF983075 QAB983075 QJX983075 QTT983075 RDP983075 RNL983075 RXH983075 SHD983075 SQZ983075 TAV983075 TKR983075 TUN983075 UEJ983075 UOF983075 UYB983075 VHX983075 VRT983075 WBP983075 WLL983075 WVH983075" xr:uid="{E536B50A-858F-45A2-A184-F2509AD4410D}">
      <formula1>$N$79:$N$80</formula1>
    </dataValidation>
    <dataValidation type="list" allowBlank="1" showInputMessage="1" showErrorMessage="1" sqref="B36 IV36 SR36 ACN36 AMJ36 AWF36 BGB36 BPX36 BZT36 CJP36 CTL36 DDH36 DND36 DWZ36 EGV36 EQR36 FAN36 FKJ36 FUF36 GEB36 GNX36 GXT36 HHP36 HRL36 IBH36 ILD36 IUZ36 JEV36 JOR36 JYN36 KIJ36 KSF36 LCB36 LLX36 LVT36 MFP36 MPL36 MZH36 NJD36 NSZ36 OCV36 OMR36 OWN36 PGJ36 PQF36 QAB36 QJX36 QTT36 RDP36 RNL36 RXH36 SHD36 SQZ36 TAV36 TKR36 TUN36 UEJ36 UOF36 UYB36 VHX36 VRT36 WBP36 WLL36 WVH36 B65572 IV65572 SR65572 ACN65572 AMJ65572 AWF65572 BGB65572 BPX65572 BZT65572 CJP65572 CTL65572 DDH65572 DND65572 DWZ65572 EGV65572 EQR65572 FAN65572 FKJ65572 FUF65572 GEB65572 GNX65572 GXT65572 HHP65572 HRL65572 IBH65572 ILD65572 IUZ65572 JEV65572 JOR65572 JYN65572 KIJ65572 KSF65572 LCB65572 LLX65572 LVT65572 MFP65572 MPL65572 MZH65572 NJD65572 NSZ65572 OCV65572 OMR65572 OWN65572 PGJ65572 PQF65572 QAB65572 QJX65572 QTT65572 RDP65572 RNL65572 RXH65572 SHD65572 SQZ65572 TAV65572 TKR65572 TUN65572 UEJ65572 UOF65572 UYB65572 VHX65572 VRT65572 WBP65572 WLL65572 WVH65572 B131108 IV131108 SR131108 ACN131108 AMJ131108 AWF131108 BGB131108 BPX131108 BZT131108 CJP131108 CTL131108 DDH131108 DND131108 DWZ131108 EGV131108 EQR131108 FAN131108 FKJ131108 FUF131108 GEB131108 GNX131108 GXT131108 HHP131108 HRL131108 IBH131108 ILD131108 IUZ131108 JEV131108 JOR131108 JYN131108 KIJ131108 KSF131108 LCB131108 LLX131108 LVT131108 MFP131108 MPL131108 MZH131108 NJD131108 NSZ131108 OCV131108 OMR131108 OWN131108 PGJ131108 PQF131108 QAB131108 QJX131108 QTT131108 RDP131108 RNL131108 RXH131108 SHD131108 SQZ131108 TAV131108 TKR131108 TUN131108 UEJ131108 UOF131108 UYB131108 VHX131108 VRT131108 WBP131108 WLL131108 WVH131108 B196644 IV196644 SR196644 ACN196644 AMJ196644 AWF196644 BGB196644 BPX196644 BZT196644 CJP196644 CTL196644 DDH196644 DND196644 DWZ196644 EGV196644 EQR196644 FAN196644 FKJ196644 FUF196644 GEB196644 GNX196644 GXT196644 HHP196644 HRL196644 IBH196644 ILD196644 IUZ196644 JEV196644 JOR196644 JYN196644 KIJ196644 KSF196644 LCB196644 LLX196644 LVT196644 MFP196644 MPL196644 MZH196644 NJD196644 NSZ196644 OCV196644 OMR196644 OWN196644 PGJ196644 PQF196644 QAB196644 QJX196644 QTT196644 RDP196644 RNL196644 RXH196644 SHD196644 SQZ196644 TAV196644 TKR196644 TUN196644 UEJ196644 UOF196644 UYB196644 VHX196644 VRT196644 WBP196644 WLL196644 WVH196644 B262180 IV262180 SR262180 ACN262180 AMJ262180 AWF262180 BGB262180 BPX262180 BZT262180 CJP262180 CTL262180 DDH262180 DND262180 DWZ262180 EGV262180 EQR262180 FAN262180 FKJ262180 FUF262180 GEB262180 GNX262180 GXT262180 HHP262180 HRL262180 IBH262180 ILD262180 IUZ262180 JEV262180 JOR262180 JYN262180 KIJ262180 KSF262180 LCB262180 LLX262180 LVT262180 MFP262180 MPL262180 MZH262180 NJD262180 NSZ262180 OCV262180 OMR262180 OWN262180 PGJ262180 PQF262180 QAB262180 QJX262180 QTT262180 RDP262180 RNL262180 RXH262180 SHD262180 SQZ262180 TAV262180 TKR262180 TUN262180 UEJ262180 UOF262180 UYB262180 VHX262180 VRT262180 WBP262180 WLL262180 WVH262180 B327716 IV327716 SR327716 ACN327716 AMJ327716 AWF327716 BGB327716 BPX327716 BZT327716 CJP327716 CTL327716 DDH327716 DND327716 DWZ327716 EGV327716 EQR327716 FAN327716 FKJ327716 FUF327716 GEB327716 GNX327716 GXT327716 HHP327716 HRL327716 IBH327716 ILD327716 IUZ327716 JEV327716 JOR327716 JYN327716 KIJ327716 KSF327716 LCB327716 LLX327716 LVT327716 MFP327716 MPL327716 MZH327716 NJD327716 NSZ327716 OCV327716 OMR327716 OWN327716 PGJ327716 PQF327716 QAB327716 QJX327716 QTT327716 RDP327716 RNL327716 RXH327716 SHD327716 SQZ327716 TAV327716 TKR327716 TUN327716 UEJ327716 UOF327716 UYB327716 VHX327716 VRT327716 WBP327716 WLL327716 WVH327716 B393252 IV393252 SR393252 ACN393252 AMJ393252 AWF393252 BGB393252 BPX393252 BZT393252 CJP393252 CTL393252 DDH393252 DND393252 DWZ393252 EGV393252 EQR393252 FAN393252 FKJ393252 FUF393252 GEB393252 GNX393252 GXT393252 HHP393252 HRL393252 IBH393252 ILD393252 IUZ393252 JEV393252 JOR393252 JYN393252 KIJ393252 KSF393252 LCB393252 LLX393252 LVT393252 MFP393252 MPL393252 MZH393252 NJD393252 NSZ393252 OCV393252 OMR393252 OWN393252 PGJ393252 PQF393252 QAB393252 QJX393252 QTT393252 RDP393252 RNL393252 RXH393252 SHD393252 SQZ393252 TAV393252 TKR393252 TUN393252 UEJ393252 UOF393252 UYB393252 VHX393252 VRT393252 WBP393252 WLL393252 WVH393252 B458788 IV458788 SR458788 ACN458788 AMJ458788 AWF458788 BGB458788 BPX458788 BZT458788 CJP458788 CTL458788 DDH458788 DND458788 DWZ458788 EGV458788 EQR458788 FAN458788 FKJ458788 FUF458788 GEB458788 GNX458788 GXT458788 HHP458788 HRL458788 IBH458788 ILD458788 IUZ458788 JEV458788 JOR458788 JYN458788 KIJ458788 KSF458788 LCB458788 LLX458788 LVT458788 MFP458788 MPL458788 MZH458788 NJD458788 NSZ458788 OCV458788 OMR458788 OWN458788 PGJ458788 PQF458788 QAB458788 QJX458788 QTT458788 RDP458788 RNL458788 RXH458788 SHD458788 SQZ458788 TAV458788 TKR458788 TUN458788 UEJ458788 UOF458788 UYB458788 VHX458788 VRT458788 WBP458788 WLL458788 WVH458788 B524324 IV524324 SR524324 ACN524324 AMJ524324 AWF524324 BGB524324 BPX524324 BZT524324 CJP524324 CTL524324 DDH524324 DND524324 DWZ524324 EGV524324 EQR524324 FAN524324 FKJ524324 FUF524324 GEB524324 GNX524324 GXT524324 HHP524324 HRL524324 IBH524324 ILD524324 IUZ524324 JEV524324 JOR524324 JYN524324 KIJ524324 KSF524324 LCB524324 LLX524324 LVT524324 MFP524324 MPL524324 MZH524324 NJD524324 NSZ524324 OCV524324 OMR524324 OWN524324 PGJ524324 PQF524324 QAB524324 QJX524324 QTT524324 RDP524324 RNL524324 RXH524324 SHD524324 SQZ524324 TAV524324 TKR524324 TUN524324 UEJ524324 UOF524324 UYB524324 VHX524324 VRT524324 WBP524324 WLL524324 WVH524324 B589860 IV589860 SR589860 ACN589860 AMJ589860 AWF589860 BGB589860 BPX589860 BZT589860 CJP589860 CTL589860 DDH589860 DND589860 DWZ589860 EGV589860 EQR589860 FAN589860 FKJ589860 FUF589860 GEB589860 GNX589860 GXT589860 HHP589860 HRL589860 IBH589860 ILD589860 IUZ589860 JEV589860 JOR589860 JYN589860 KIJ589860 KSF589860 LCB589860 LLX589860 LVT589860 MFP589860 MPL589860 MZH589860 NJD589860 NSZ589860 OCV589860 OMR589860 OWN589860 PGJ589860 PQF589860 QAB589860 QJX589860 QTT589860 RDP589860 RNL589860 RXH589860 SHD589860 SQZ589860 TAV589860 TKR589860 TUN589860 UEJ589860 UOF589860 UYB589860 VHX589860 VRT589860 WBP589860 WLL589860 WVH589860 B655396 IV655396 SR655396 ACN655396 AMJ655396 AWF655396 BGB655396 BPX655396 BZT655396 CJP655396 CTL655396 DDH655396 DND655396 DWZ655396 EGV655396 EQR655396 FAN655396 FKJ655396 FUF655396 GEB655396 GNX655396 GXT655396 HHP655396 HRL655396 IBH655396 ILD655396 IUZ655396 JEV655396 JOR655396 JYN655396 KIJ655396 KSF655396 LCB655396 LLX655396 LVT655396 MFP655396 MPL655396 MZH655396 NJD655396 NSZ655396 OCV655396 OMR655396 OWN655396 PGJ655396 PQF655396 QAB655396 QJX655396 QTT655396 RDP655396 RNL655396 RXH655396 SHD655396 SQZ655396 TAV655396 TKR655396 TUN655396 UEJ655396 UOF655396 UYB655396 VHX655396 VRT655396 WBP655396 WLL655396 WVH655396 B720932 IV720932 SR720932 ACN720932 AMJ720932 AWF720932 BGB720932 BPX720932 BZT720932 CJP720932 CTL720932 DDH720932 DND720932 DWZ720932 EGV720932 EQR720932 FAN720932 FKJ720932 FUF720932 GEB720932 GNX720932 GXT720932 HHP720932 HRL720932 IBH720932 ILD720932 IUZ720932 JEV720932 JOR720932 JYN720932 KIJ720932 KSF720932 LCB720932 LLX720932 LVT720932 MFP720932 MPL720932 MZH720932 NJD720932 NSZ720932 OCV720932 OMR720932 OWN720932 PGJ720932 PQF720932 QAB720932 QJX720932 QTT720932 RDP720932 RNL720932 RXH720932 SHD720932 SQZ720932 TAV720932 TKR720932 TUN720932 UEJ720932 UOF720932 UYB720932 VHX720932 VRT720932 WBP720932 WLL720932 WVH720932 B786468 IV786468 SR786468 ACN786468 AMJ786468 AWF786468 BGB786468 BPX786468 BZT786468 CJP786468 CTL786468 DDH786468 DND786468 DWZ786468 EGV786468 EQR786468 FAN786468 FKJ786468 FUF786468 GEB786468 GNX786468 GXT786468 HHP786468 HRL786468 IBH786468 ILD786468 IUZ786468 JEV786468 JOR786468 JYN786468 KIJ786468 KSF786468 LCB786468 LLX786468 LVT786468 MFP786468 MPL786468 MZH786468 NJD786468 NSZ786468 OCV786468 OMR786468 OWN786468 PGJ786468 PQF786468 QAB786468 QJX786468 QTT786468 RDP786468 RNL786468 RXH786468 SHD786468 SQZ786468 TAV786468 TKR786468 TUN786468 UEJ786468 UOF786468 UYB786468 VHX786468 VRT786468 WBP786468 WLL786468 WVH786468 B852004 IV852004 SR852004 ACN852004 AMJ852004 AWF852004 BGB852004 BPX852004 BZT852004 CJP852004 CTL852004 DDH852004 DND852004 DWZ852004 EGV852004 EQR852004 FAN852004 FKJ852004 FUF852004 GEB852004 GNX852004 GXT852004 HHP852004 HRL852004 IBH852004 ILD852004 IUZ852004 JEV852004 JOR852004 JYN852004 KIJ852004 KSF852004 LCB852004 LLX852004 LVT852004 MFP852004 MPL852004 MZH852004 NJD852004 NSZ852004 OCV852004 OMR852004 OWN852004 PGJ852004 PQF852004 QAB852004 QJX852004 QTT852004 RDP852004 RNL852004 RXH852004 SHD852004 SQZ852004 TAV852004 TKR852004 TUN852004 UEJ852004 UOF852004 UYB852004 VHX852004 VRT852004 WBP852004 WLL852004 WVH852004 B917540 IV917540 SR917540 ACN917540 AMJ917540 AWF917540 BGB917540 BPX917540 BZT917540 CJP917540 CTL917540 DDH917540 DND917540 DWZ917540 EGV917540 EQR917540 FAN917540 FKJ917540 FUF917540 GEB917540 GNX917540 GXT917540 HHP917540 HRL917540 IBH917540 ILD917540 IUZ917540 JEV917540 JOR917540 JYN917540 KIJ917540 KSF917540 LCB917540 LLX917540 LVT917540 MFP917540 MPL917540 MZH917540 NJD917540 NSZ917540 OCV917540 OMR917540 OWN917540 PGJ917540 PQF917540 QAB917540 QJX917540 QTT917540 RDP917540 RNL917540 RXH917540 SHD917540 SQZ917540 TAV917540 TKR917540 TUN917540 UEJ917540 UOF917540 UYB917540 VHX917540 VRT917540 WBP917540 WLL917540 WVH917540 B983076 IV983076 SR983076 ACN983076 AMJ983076 AWF983076 BGB983076 BPX983076 BZT983076 CJP983076 CTL983076 DDH983076 DND983076 DWZ983076 EGV983076 EQR983076 FAN983076 FKJ983076 FUF983076 GEB983076 GNX983076 GXT983076 HHP983076 HRL983076 IBH983076 ILD983076 IUZ983076 JEV983076 JOR983076 JYN983076 KIJ983076 KSF983076 LCB983076 LLX983076 LVT983076 MFP983076 MPL983076 MZH983076 NJD983076 NSZ983076 OCV983076 OMR983076 OWN983076 PGJ983076 PQF983076 QAB983076 QJX983076 QTT983076 RDP983076 RNL983076 RXH983076 SHD983076 SQZ983076 TAV983076 TKR983076 TUN983076 UEJ983076 UOF983076 UYB983076 VHX983076 VRT983076 WBP983076 WLL983076 WVH983076" xr:uid="{C8CCF173-16F7-483A-9697-40A1F52F408A}">
      <formula1>$N$89:$N$90</formula1>
    </dataValidation>
    <dataValidation type="list" allowBlank="1" showInputMessage="1" showErrorMessage="1" sqref="B58 IV58 SR58 ACN58 AMJ58 AWF58 BGB58 BPX58 BZT58 CJP58 CTL58 DDH58 DND58 DWZ58 EGV58 EQR58 FAN58 FKJ58 FUF58 GEB58 GNX58 GXT58 HHP58 HRL58 IBH58 ILD58 IUZ58 JEV58 JOR58 JYN58 KIJ58 KSF58 LCB58 LLX58 LVT58 MFP58 MPL58 MZH58 NJD58 NSZ58 OCV58 OMR58 OWN58 PGJ58 PQF58 QAB58 QJX58 QTT58 RDP58 RNL58 RXH58 SHD58 SQZ58 TAV58 TKR58 TUN58 UEJ58 UOF58 UYB58 VHX58 VRT58 WBP58 WLL58 WVH58 B65594 IV65594 SR65594 ACN65594 AMJ65594 AWF65594 BGB65594 BPX65594 BZT65594 CJP65594 CTL65594 DDH65594 DND65594 DWZ65594 EGV65594 EQR65594 FAN65594 FKJ65594 FUF65594 GEB65594 GNX65594 GXT65594 HHP65594 HRL65594 IBH65594 ILD65594 IUZ65594 JEV65594 JOR65594 JYN65594 KIJ65594 KSF65594 LCB65594 LLX65594 LVT65594 MFP65594 MPL65594 MZH65594 NJD65594 NSZ65594 OCV65594 OMR65594 OWN65594 PGJ65594 PQF65594 QAB65594 QJX65594 QTT65594 RDP65594 RNL65594 RXH65594 SHD65594 SQZ65594 TAV65594 TKR65594 TUN65594 UEJ65594 UOF65594 UYB65594 VHX65594 VRT65594 WBP65594 WLL65594 WVH65594 B131130 IV131130 SR131130 ACN131130 AMJ131130 AWF131130 BGB131130 BPX131130 BZT131130 CJP131130 CTL131130 DDH131130 DND131130 DWZ131130 EGV131130 EQR131130 FAN131130 FKJ131130 FUF131130 GEB131130 GNX131130 GXT131130 HHP131130 HRL131130 IBH131130 ILD131130 IUZ131130 JEV131130 JOR131130 JYN131130 KIJ131130 KSF131130 LCB131130 LLX131130 LVT131130 MFP131130 MPL131130 MZH131130 NJD131130 NSZ131130 OCV131130 OMR131130 OWN131130 PGJ131130 PQF131130 QAB131130 QJX131130 QTT131130 RDP131130 RNL131130 RXH131130 SHD131130 SQZ131130 TAV131130 TKR131130 TUN131130 UEJ131130 UOF131130 UYB131130 VHX131130 VRT131130 WBP131130 WLL131130 WVH131130 B196666 IV196666 SR196666 ACN196666 AMJ196666 AWF196666 BGB196666 BPX196666 BZT196666 CJP196666 CTL196666 DDH196666 DND196666 DWZ196666 EGV196666 EQR196666 FAN196666 FKJ196666 FUF196666 GEB196666 GNX196666 GXT196666 HHP196666 HRL196666 IBH196666 ILD196666 IUZ196666 JEV196666 JOR196666 JYN196666 KIJ196666 KSF196666 LCB196666 LLX196666 LVT196666 MFP196666 MPL196666 MZH196666 NJD196666 NSZ196666 OCV196666 OMR196666 OWN196666 PGJ196666 PQF196666 QAB196666 QJX196666 QTT196666 RDP196666 RNL196666 RXH196666 SHD196666 SQZ196666 TAV196666 TKR196666 TUN196666 UEJ196666 UOF196666 UYB196666 VHX196666 VRT196666 WBP196666 WLL196666 WVH196666 B262202 IV262202 SR262202 ACN262202 AMJ262202 AWF262202 BGB262202 BPX262202 BZT262202 CJP262202 CTL262202 DDH262202 DND262202 DWZ262202 EGV262202 EQR262202 FAN262202 FKJ262202 FUF262202 GEB262202 GNX262202 GXT262202 HHP262202 HRL262202 IBH262202 ILD262202 IUZ262202 JEV262202 JOR262202 JYN262202 KIJ262202 KSF262202 LCB262202 LLX262202 LVT262202 MFP262202 MPL262202 MZH262202 NJD262202 NSZ262202 OCV262202 OMR262202 OWN262202 PGJ262202 PQF262202 QAB262202 QJX262202 QTT262202 RDP262202 RNL262202 RXH262202 SHD262202 SQZ262202 TAV262202 TKR262202 TUN262202 UEJ262202 UOF262202 UYB262202 VHX262202 VRT262202 WBP262202 WLL262202 WVH262202 B327738 IV327738 SR327738 ACN327738 AMJ327738 AWF327738 BGB327738 BPX327738 BZT327738 CJP327738 CTL327738 DDH327738 DND327738 DWZ327738 EGV327738 EQR327738 FAN327738 FKJ327738 FUF327738 GEB327738 GNX327738 GXT327738 HHP327738 HRL327738 IBH327738 ILD327738 IUZ327738 JEV327738 JOR327738 JYN327738 KIJ327738 KSF327738 LCB327738 LLX327738 LVT327738 MFP327738 MPL327738 MZH327738 NJD327738 NSZ327738 OCV327738 OMR327738 OWN327738 PGJ327738 PQF327738 QAB327738 QJX327738 QTT327738 RDP327738 RNL327738 RXH327738 SHD327738 SQZ327738 TAV327738 TKR327738 TUN327738 UEJ327738 UOF327738 UYB327738 VHX327738 VRT327738 WBP327738 WLL327738 WVH327738 B393274 IV393274 SR393274 ACN393274 AMJ393274 AWF393274 BGB393274 BPX393274 BZT393274 CJP393274 CTL393274 DDH393274 DND393274 DWZ393274 EGV393274 EQR393274 FAN393274 FKJ393274 FUF393274 GEB393274 GNX393274 GXT393274 HHP393274 HRL393274 IBH393274 ILD393274 IUZ393274 JEV393274 JOR393274 JYN393274 KIJ393274 KSF393274 LCB393274 LLX393274 LVT393274 MFP393274 MPL393274 MZH393274 NJD393274 NSZ393274 OCV393274 OMR393274 OWN393274 PGJ393274 PQF393274 QAB393274 QJX393274 QTT393274 RDP393274 RNL393274 RXH393274 SHD393274 SQZ393274 TAV393274 TKR393274 TUN393274 UEJ393274 UOF393274 UYB393274 VHX393274 VRT393274 WBP393274 WLL393274 WVH393274 B458810 IV458810 SR458810 ACN458810 AMJ458810 AWF458810 BGB458810 BPX458810 BZT458810 CJP458810 CTL458810 DDH458810 DND458810 DWZ458810 EGV458810 EQR458810 FAN458810 FKJ458810 FUF458810 GEB458810 GNX458810 GXT458810 HHP458810 HRL458810 IBH458810 ILD458810 IUZ458810 JEV458810 JOR458810 JYN458810 KIJ458810 KSF458810 LCB458810 LLX458810 LVT458810 MFP458810 MPL458810 MZH458810 NJD458810 NSZ458810 OCV458810 OMR458810 OWN458810 PGJ458810 PQF458810 QAB458810 QJX458810 QTT458810 RDP458810 RNL458810 RXH458810 SHD458810 SQZ458810 TAV458810 TKR458810 TUN458810 UEJ458810 UOF458810 UYB458810 VHX458810 VRT458810 WBP458810 WLL458810 WVH458810 B524346 IV524346 SR524346 ACN524346 AMJ524346 AWF524346 BGB524346 BPX524346 BZT524346 CJP524346 CTL524346 DDH524346 DND524346 DWZ524346 EGV524346 EQR524346 FAN524346 FKJ524346 FUF524346 GEB524346 GNX524346 GXT524346 HHP524346 HRL524346 IBH524346 ILD524346 IUZ524346 JEV524346 JOR524346 JYN524346 KIJ524346 KSF524346 LCB524346 LLX524346 LVT524346 MFP524346 MPL524346 MZH524346 NJD524346 NSZ524346 OCV524346 OMR524346 OWN524346 PGJ524346 PQF524346 QAB524346 QJX524346 QTT524346 RDP524346 RNL524346 RXH524346 SHD524346 SQZ524346 TAV524346 TKR524346 TUN524346 UEJ524346 UOF524346 UYB524346 VHX524346 VRT524346 WBP524346 WLL524346 WVH524346 B589882 IV589882 SR589882 ACN589882 AMJ589882 AWF589882 BGB589882 BPX589882 BZT589882 CJP589882 CTL589882 DDH589882 DND589882 DWZ589882 EGV589882 EQR589882 FAN589882 FKJ589882 FUF589882 GEB589882 GNX589882 GXT589882 HHP589882 HRL589882 IBH589882 ILD589882 IUZ589882 JEV589882 JOR589882 JYN589882 KIJ589882 KSF589882 LCB589882 LLX589882 LVT589882 MFP589882 MPL589882 MZH589882 NJD589882 NSZ589882 OCV589882 OMR589882 OWN589882 PGJ589882 PQF589882 QAB589882 QJX589882 QTT589882 RDP589882 RNL589882 RXH589882 SHD589882 SQZ589882 TAV589882 TKR589882 TUN589882 UEJ589882 UOF589882 UYB589882 VHX589882 VRT589882 WBP589882 WLL589882 WVH589882 B655418 IV655418 SR655418 ACN655418 AMJ655418 AWF655418 BGB655418 BPX655418 BZT655418 CJP655418 CTL655418 DDH655418 DND655418 DWZ655418 EGV655418 EQR655418 FAN655418 FKJ655418 FUF655418 GEB655418 GNX655418 GXT655418 HHP655418 HRL655418 IBH655418 ILD655418 IUZ655418 JEV655418 JOR655418 JYN655418 KIJ655418 KSF655418 LCB655418 LLX655418 LVT655418 MFP655418 MPL655418 MZH655418 NJD655418 NSZ655418 OCV655418 OMR655418 OWN655418 PGJ655418 PQF655418 QAB655418 QJX655418 QTT655418 RDP655418 RNL655418 RXH655418 SHD655418 SQZ655418 TAV655418 TKR655418 TUN655418 UEJ655418 UOF655418 UYB655418 VHX655418 VRT655418 WBP655418 WLL655418 WVH655418 B720954 IV720954 SR720954 ACN720954 AMJ720954 AWF720954 BGB720954 BPX720954 BZT720954 CJP720954 CTL720954 DDH720954 DND720954 DWZ720954 EGV720954 EQR720954 FAN720954 FKJ720954 FUF720954 GEB720954 GNX720954 GXT720954 HHP720954 HRL720954 IBH720954 ILD720954 IUZ720954 JEV720954 JOR720954 JYN720954 KIJ720954 KSF720954 LCB720954 LLX720954 LVT720954 MFP720954 MPL720954 MZH720954 NJD720954 NSZ720954 OCV720954 OMR720954 OWN720954 PGJ720954 PQF720954 QAB720954 QJX720954 QTT720954 RDP720954 RNL720954 RXH720954 SHD720954 SQZ720954 TAV720954 TKR720954 TUN720954 UEJ720954 UOF720954 UYB720954 VHX720954 VRT720954 WBP720954 WLL720954 WVH720954 B786490 IV786490 SR786490 ACN786490 AMJ786490 AWF786490 BGB786490 BPX786490 BZT786490 CJP786490 CTL786490 DDH786490 DND786490 DWZ786490 EGV786490 EQR786490 FAN786490 FKJ786490 FUF786490 GEB786490 GNX786490 GXT786490 HHP786490 HRL786490 IBH786490 ILD786490 IUZ786490 JEV786490 JOR786490 JYN786490 KIJ786490 KSF786490 LCB786490 LLX786490 LVT786490 MFP786490 MPL786490 MZH786490 NJD786490 NSZ786490 OCV786490 OMR786490 OWN786490 PGJ786490 PQF786490 QAB786490 QJX786490 QTT786490 RDP786490 RNL786490 RXH786490 SHD786490 SQZ786490 TAV786490 TKR786490 TUN786490 UEJ786490 UOF786490 UYB786490 VHX786490 VRT786490 WBP786490 WLL786490 WVH786490 B852026 IV852026 SR852026 ACN852026 AMJ852026 AWF852026 BGB852026 BPX852026 BZT852026 CJP852026 CTL852026 DDH852026 DND852026 DWZ852026 EGV852026 EQR852026 FAN852026 FKJ852026 FUF852026 GEB852026 GNX852026 GXT852026 HHP852026 HRL852026 IBH852026 ILD852026 IUZ852026 JEV852026 JOR852026 JYN852026 KIJ852026 KSF852026 LCB852026 LLX852026 LVT852026 MFP852026 MPL852026 MZH852026 NJD852026 NSZ852026 OCV852026 OMR852026 OWN852026 PGJ852026 PQF852026 QAB852026 QJX852026 QTT852026 RDP852026 RNL852026 RXH852026 SHD852026 SQZ852026 TAV852026 TKR852026 TUN852026 UEJ852026 UOF852026 UYB852026 VHX852026 VRT852026 WBP852026 WLL852026 WVH852026 B917562 IV917562 SR917562 ACN917562 AMJ917562 AWF917562 BGB917562 BPX917562 BZT917562 CJP917562 CTL917562 DDH917562 DND917562 DWZ917562 EGV917562 EQR917562 FAN917562 FKJ917562 FUF917562 GEB917562 GNX917562 GXT917562 HHP917562 HRL917562 IBH917562 ILD917562 IUZ917562 JEV917562 JOR917562 JYN917562 KIJ917562 KSF917562 LCB917562 LLX917562 LVT917562 MFP917562 MPL917562 MZH917562 NJD917562 NSZ917562 OCV917562 OMR917562 OWN917562 PGJ917562 PQF917562 QAB917562 QJX917562 QTT917562 RDP917562 RNL917562 RXH917562 SHD917562 SQZ917562 TAV917562 TKR917562 TUN917562 UEJ917562 UOF917562 UYB917562 VHX917562 VRT917562 WBP917562 WLL917562 WVH917562 B983098 IV983098 SR983098 ACN983098 AMJ983098 AWF983098 BGB983098 BPX983098 BZT983098 CJP983098 CTL983098 DDH983098 DND983098 DWZ983098 EGV983098 EQR983098 FAN983098 FKJ983098 FUF983098 GEB983098 GNX983098 GXT983098 HHP983098 HRL983098 IBH983098 ILD983098 IUZ983098 JEV983098 JOR983098 JYN983098 KIJ983098 KSF983098 LCB983098 LLX983098 LVT983098 MFP983098 MPL983098 MZH983098 NJD983098 NSZ983098 OCV983098 OMR983098 OWN983098 PGJ983098 PQF983098 QAB983098 QJX983098 QTT983098 RDP983098 RNL983098 RXH983098 SHD983098 SQZ983098 TAV983098 TKR983098 TUN983098 UEJ983098 UOF983098 UYB983098 VHX983098 VRT983098 WBP983098 WLL983098 WVH983098" xr:uid="{B72B31D8-F654-43D0-B43F-B3980356B07B}">
      <formula1>$A$44:$A$53</formula1>
    </dataValidation>
    <dataValidation type="list" allowBlank="1" showInputMessage="1" showErrorMessage="1" sqref="B60 IV60 SR60 ACN60 AMJ60 AWF60 BGB60 BPX60 BZT60 CJP60 CTL60 DDH60 DND60 DWZ60 EGV60 EQR60 FAN60 FKJ60 FUF60 GEB60 GNX60 GXT60 HHP60 HRL60 IBH60 ILD60 IUZ60 JEV60 JOR60 JYN60 KIJ60 KSF60 LCB60 LLX60 LVT60 MFP60 MPL60 MZH60 NJD60 NSZ60 OCV60 OMR60 OWN60 PGJ60 PQF60 QAB60 QJX60 QTT60 RDP60 RNL60 RXH60 SHD60 SQZ60 TAV60 TKR60 TUN60 UEJ60 UOF60 UYB60 VHX60 VRT60 WBP60 WLL60 WVH60 B65596 IV65596 SR65596 ACN65596 AMJ65596 AWF65596 BGB65596 BPX65596 BZT65596 CJP65596 CTL65596 DDH65596 DND65596 DWZ65596 EGV65596 EQR65596 FAN65596 FKJ65596 FUF65596 GEB65596 GNX65596 GXT65596 HHP65596 HRL65596 IBH65596 ILD65596 IUZ65596 JEV65596 JOR65596 JYN65596 KIJ65596 KSF65596 LCB65596 LLX65596 LVT65596 MFP65596 MPL65596 MZH65596 NJD65596 NSZ65596 OCV65596 OMR65596 OWN65596 PGJ65596 PQF65596 QAB65596 QJX65596 QTT65596 RDP65596 RNL65596 RXH65596 SHD65596 SQZ65596 TAV65596 TKR65596 TUN65596 UEJ65596 UOF65596 UYB65596 VHX65596 VRT65596 WBP65596 WLL65596 WVH65596 B131132 IV131132 SR131132 ACN131132 AMJ131132 AWF131132 BGB131132 BPX131132 BZT131132 CJP131132 CTL131132 DDH131132 DND131132 DWZ131132 EGV131132 EQR131132 FAN131132 FKJ131132 FUF131132 GEB131132 GNX131132 GXT131132 HHP131132 HRL131132 IBH131132 ILD131132 IUZ131132 JEV131132 JOR131132 JYN131132 KIJ131132 KSF131132 LCB131132 LLX131132 LVT131132 MFP131132 MPL131132 MZH131132 NJD131132 NSZ131132 OCV131132 OMR131132 OWN131132 PGJ131132 PQF131132 QAB131132 QJX131132 QTT131132 RDP131132 RNL131132 RXH131132 SHD131132 SQZ131132 TAV131132 TKR131132 TUN131132 UEJ131132 UOF131132 UYB131132 VHX131132 VRT131132 WBP131132 WLL131132 WVH131132 B196668 IV196668 SR196668 ACN196668 AMJ196668 AWF196668 BGB196668 BPX196668 BZT196668 CJP196668 CTL196668 DDH196668 DND196668 DWZ196668 EGV196668 EQR196668 FAN196668 FKJ196668 FUF196668 GEB196668 GNX196668 GXT196668 HHP196668 HRL196668 IBH196668 ILD196668 IUZ196668 JEV196668 JOR196668 JYN196668 KIJ196668 KSF196668 LCB196668 LLX196668 LVT196668 MFP196668 MPL196668 MZH196668 NJD196668 NSZ196668 OCV196668 OMR196668 OWN196668 PGJ196668 PQF196668 QAB196668 QJX196668 QTT196668 RDP196668 RNL196668 RXH196668 SHD196668 SQZ196668 TAV196668 TKR196668 TUN196668 UEJ196668 UOF196668 UYB196668 VHX196668 VRT196668 WBP196668 WLL196668 WVH196668 B262204 IV262204 SR262204 ACN262204 AMJ262204 AWF262204 BGB262204 BPX262204 BZT262204 CJP262204 CTL262204 DDH262204 DND262204 DWZ262204 EGV262204 EQR262204 FAN262204 FKJ262204 FUF262204 GEB262204 GNX262204 GXT262204 HHP262204 HRL262204 IBH262204 ILD262204 IUZ262204 JEV262204 JOR262204 JYN262204 KIJ262204 KSF262204 LCB262204 LLX262204 LVT262204 MFP262204 MPL262204 MZH262204 NJD262204 NSZ262204 OCV262204 OMR262204 OWN262204 PGJ262204 PQF262204 QAB262204 QJX262204 QTT262204 RDP262204 RNL262204 RXH262204 SHD262204 SQZ262204 TAV262204 TKR262204 TUN262204 UEJ262204 UOF262204 UYB262204 VHX262204 VRT262204 WBP262204 WLL262204 WVH262204 B327740 IV327740 SR327740 ACN327740 AMJ327740 AWF327740 BGB327740 BPX327740 BZT327740 CJP327740 CTL327740 DDH327740 DND327740 DWZ327740 EGV327740 EQR327740 FAN327740 FKJ327740 FUF327740 GEB327740 GNX327740 GXT327740 HHP327740 HRL327740 IBH327740 ILD327740 IUZ327740 JEV327740 JOR327740 JYN327740 KIJ327740 KSF327740 LCB327740 LLX327740 LVT327740 MFP327740 MPL327740 MZH327740 NJD327740 NSZ327740 OCV327740 OMR327740 OWN327740 PGJ327740 PQF327740 QAB327740 QJX327740 QTT327740 RDP327740 RNL327740 RXH327740 SHD327740 SQZ327740 TAV327740 TKR327740 TUN327740 UEJ327740 UOF327740 UYB327740 VHX327740 VRT327740 WBP327740 WLL327740 WVH327740 B393276 IV393276 SR393276 ACN393276 AMJ393276 AWF393276 BGB393276 BPX393276 BZT393276 CJP393276 CTL393276 DDH393276 DND393276 DWZ393276 EGV393276 EQR393276 FAN393276 FKJ393276 FUF393276 GEB393276 GNX393276 GXT393276 HHP393276 HRL393276 IBH393276 ILD393276 IUZ393276 JEV393276 JOR393276 JYN393276 KIJ393276 KSF393276 LCB393276 LLX393276 LVT393276 MFP393276 MPL393276 MZH393276 NJD393276 NSZ393276 OCV393276 OMR393276 OWN393276 PGJ393276 PQF393276 QAB393276 QJX393276 QTT393276 RDP393276 RNL393276 RXH393276 SHD393276 SQZ393276 TAV393276 TKR393276 TUN393276 UEJ393276 UOF393276 UYB393276 VHX393276 VRT393276 WBP393276 WLL393276 WVH393276 B458812 IV458812 SR458812 ACN458812 AMJ458812 AWF458812 BGB458812 BPX458812 BZT458812 CJP458812 CTL458812 DDH458812 DND458812 DWZ458812 EGV458812 EQR458812 FAN458812 FKJ458812 FUF458812 GEB458812 GNX458812 GXT458812 HHP458812 HRL458812 IBH458812 ILD458812 IUZ458812 JEV458812 JOR458812 JYN458812 KIJ458812 KSF458812 LCB458812 LLX458812 LVT458812 MFP458812 MPL458812 MZH458812 NJD458812 NSZ458812 OCV458812 OMR458812 OWN458812 PGJ458812 PQF458812 QAB458812 QJX458812 QTT458812 RDP458812 RNL458812 RXH458812 SHD458812 SQZ458812 TAV458812 TKR458812 TUN458812 UEJ458812 UOF458812 UYB458812 VHX458812 VRT458812 WBP458812 WLL458812 WVH458812 B524348 IV524348 SR524348 ACN524348 AMJ524348 AWF524348 BGB524348 BPX524348 BZT524348 CJP524348 CTL524348 DDH524348 DND524348 DWZ524348 EGV524348 EQR524348 FAN524348 FKJ524348 FUF524348 GEB524348 GNX524348 GXT524348 HHP524348 HRL524348 IBH524348 ILD524348 IUZ524348 JEV524348 JOR524348 JYN524348 KIJ524348 KSF524348 LCB524348 LLX524348 LVT524348 MFP524348 MPL524348 MZH524348 NJD524348 NSZ524348 OCV524348 OMR524348 OWN524348 PGJ524348 PQF524348 QAB524348 QJX524348 QTT524348 RDP524348 RNL524348 RXH524348 SHD524348 SQZ524348 TAV524348 TKR524348 TUN524348 UEJ524348 UOF524348 UYB524348 VHX524348 VRT524348 WBP524348 WLL524348 WVH524348 B589884 IV589884 SR589884 ACN589884 AMJ589884 AWF589884 BGB589884 BPX589884 BZT589884 CJP589884 CTL589884 DDH589884 DND589884 DWZ589884 EGV589884 EQR589884 FAN589884 FKJ589884 FUF589884 GEB589884 GNX589884 GXT589884 HHP589884 HRL589884 IBH589884 ILD589884 IUZ589884 JEV589884 JOR589884 JYN589884 KIJ589884 KSF589884 LCB589884 LLX589884 LVT589884 MFP589884 MPL589884 MZH589884 NJD589884 NSZ589884 OCV589884 OMR589884 OWN589884 PGJ589884 PQF589884 QAB589884 QJX589884 QTT589884 RDP589884 RNL589884 RXH589884 SHD589884 SQZ589884 TAV589884 TKR589884 TUN589884 UEJ589884 UOF589884 UYB589884 VHX589884 VRT589884 WBP589884 WLL589884 WVH589884 B655420 IV655420 SR655420 ACN655420 AMJ655420 AWF655420 BGB655420 BPX655420 BZT655420 CJP655420 CTL655420 DDH655420 DND655420 DWZ655420 EGV655420 EQR655420 FAN655420 FKJ655420 FUF655420 GEB655420 GNX655420 GXT655420 HHP655420 HRL655420 IBH655420 ILD655420 IUZ655420 JEV655420 JOR655420 JYN655420 KIJ655420 KSF655420 LCB655420 LLX655420 LVT655420 MFP655420 MPL655420 MZH655420 NJD655420 NSZ655420 OCV655420 OMR655420 OWN655420 PGJ655420 PQF655420 QAB655420 QJX655420 QTT655420 RDP655420 RNL655420 RXH655420 SHD655420 SQZ655420 TAV655420 TKR655420 TUN655420 UEJ655420 UOF655420 UYB655420 VHX655420 VRT655420 WBP655420 WLL655420 WVH655420 B720956 IV720956 SR720956 ACN720956 AMJ720956 AWF720956 BGB720956 BPX720956 BZT720956 CJP720956 CTL720956 DDH720956 DND720956 DWZ720956 EGV720956 EQR720956 FAN720956 FKJ720956 FUF720956 GEB720956 GNX720956 GXT720956 HHP720956 HRL720956 IBH720956 ILD720956 IUZ720956 JEV720956 JOR720956 JYN720956 KIJ720956 KSF720956 LCB720956 LLX720956 LVT720956 MFP720956 MPL720956 MZH720956 NJD720956 NSZ720956 OCV720956 OMR720956 OWN720956 PGJ720956 PQF720956 QAB720956 QJX720956 QTT720956 RDP720956 RNL720956 RXH720956 SHD720956 SQZ720956 TAV720956 TKR720956 TUN720956 UEJ720956 UOF720956 UYB720956 VHX720956 VRT720956 WBP720956 WLL720956 WVH720956 B786492 IV786492 SR786492 ACN786492 AMJ786492 AWF786492 BGB786492 BPX786492 BZT786492 CJP786492 CTL786492 DDH786492 DND786492 DWZ786492 EGV786492 EQR786492 FAN786492 FKJ786492 FUF786492 GEB786492 GNX786492 GXT786492 HHP786492 HRL786492 IBH786492 ILD786492 IUZ786492 JEV786492 JOR786492 JYN786492 KIJ786492 KSF786492 LCB786492 LLX786492 LVT786492 MFP786492 MPL786492 MZH786492 NJD786492 NSZ786492 OCV786492 OMR786492 OWN786492 PGJ786492 PQF786492 QAB786492 QJX786492 QTT786492 RDP786492 RNL786492 RXH786492 SHD786492 SQZ786492 TAV786492 TKR786492 TUN786492 UEJ786492 UOF786492 UYB786492 VHX786492 VRT786492 WBP786492 WLL786492 WVH786492 B852028 IV852028 SR852028 ACN852028 AMJ852028 AWF852028 BGB852028 BPX852028 BZT852028 CJP852028 CTL852028 DDH852028 DND852028 DWZ852028 EGV852028 EQR852028 FAN852028 FKJ852028 FUF852028 GEB852028 GNX852028 GXT852028 HHP852028 HRL852028 IBH852028 ILD852028 IUZ852028 JEV852028 JOR852028 JYN852028 KIJ852028 KSF852028 LCB852028 LLX852028 LVT852028 MFP852028 MPL852028 MZH852028 NJD852028 NSZ852028 OCV852028 OMR852028 OWN852028 PGJ852028 PQF852028 QAB852028 QJX852028 QTT852028 RDP852028 RNL852028 RXH852028 SHD852028 SQZ852028 TAV852028 TKR852028 TUN852028 UEJ852028 UOF852028 UYB852028 VHX852028 VRT852028 WBP852028 WLL852028 WVH852028 B917564 IV917564 SR917564 ACN917564 AMJ917564 AWF917564 BGB917564 BPX917564 BZT917564 CJP917564 CTL917564 DDH917564 DND917564 DWZ917564 EGV917564 EQR917564 FAN917564 FKJ917564 FUF917564 GEB917564 GNX917564 GXT917564 HHP917564 HRL917564 IBH917564 ILD917564 IUZ917564 JEV917564 JOR917564 JYN917564 KIJ917564 KSF917564 LCB917564 LLX917564 LVT917564 MFP917564 MPL917564 MZH917564 NJD917564 NSZ917564 OCV917564 OMR917564 OWN917564 PGJ917564 PQF917564 QAB917564 QJX917564 QTT917564 RDP917564 RNL917564 RXH917564 SHD917564 SQZ917564 TAV917564 TKR917564 TUN917564 UEJ917564 UOF917564 UYB917564 VHX917564 VRT917564 WBP917564 WLL917564 WVH917564 B983100 IV983100 SR983100 ACN983100 AMJ983100 AWF983100 BGB983100 BPX983100 BZT983100 CJP983100 CTL983100 DDH983100 DND983100 DWZ983100 EGV983100 EQR983100 FAN983100 FKJ983100 FUF983100 GEB983100 GNX983100 GXT983100 HHP983100 HRL983100 IBH983100 ILD983100 IUZ983100 JEV983100 JOR983100 JYN983100 KIJ983100 KSF983100 LCB983100 LLX983100 LVT983100 MFP983100 MPL983100 MZH983100 NJD983100 NSZ983100 OCV983100 OMR983100 OWN983100 PGJ983100 PQF983100 QAB983100 QJX983100 QTT983100 RDP983100 RNL983100 RXH983100 SHD983100 SQZ983100 TAV983100 TKR983100 TUN983100 UEJ983100 UOF983100 UYB983100 VHX983100 VRT983100 WBP983100 WLL983100 WVH983100" xr:uid="{128A2760-3587-41A4-8B2A-40ACDF0CEED3}">
      <formula1>$N$12:$N$18</formula1>
    </dataValidation>
    <dataValidation type="list" allowBlank="1" showInputMessage="1" showErrorMessage="1" sqref="B59 IV59 SR59 ACN59 AMJ59 AWF59 BGB59 BPX59 BZT59 CJP59 CTL59 DDH59 DND59 DWZ59 EGV59 EQR59 FAN59 FKJ59 FUF59 GEB59 GNX59 GXT59 HHP59 HRL59 IBH59 ILD59 IUZ59 JEV59 JOR59 JYN59 KIJ59 KSF59 LCB59 LLX59 LVT59 MFP59 MPL59 MZH59 NJD59 NSZ59 OCV59 OMR59 OWN59 PGJ59 PQF59 QAB59 QJX59 QTT59 RDP59 RNL59 RXH59 SHD59 SQZ59 TAV59 TKR59 TUN59 UEJ59 UOF59 UYB59 VHX59 VRT59 WBP59 WLL59 WVH59 B65595 IV65595 SR65595 ACN65595 AMJ65595 AWF65595 BGB65595 BPX65595 BZT65595 CJP65595 CTL65595 DDH65595 DND65595 DWZ65595 EGV65595 EQR65595 FAN65595 FKJ65595 FUF65595 GEB65595 GNX65595 GXT65595 HHP65595 HRL65595 IBH65595 ILD65595 IUZ65595 JEV65595 JOR65595 JYN65595 KIJ65595 KSF65595 LCB65595 LLX65595 LVT65595 MFP65595 MPL65595 MZH65595 NJD65595 NSZ65595 OCV65595 OMR65595 OWN65595 PGJ65595 PQF65595 QAB65595 QJX65595 QTT65595 RDP65595 RNL65595 RXH65595 SHD65595 SQZ65595 TAV65595 TKR65595 TUN65595 UEJ65595 UOF65595 UYB65595 VHX65595 VRT65595 WBP65595 WLL65595 WVH65595 B131131 IV131131 SR131131 ACN131131 AMJ131131 AWF131131 BGB131131 BPX131131 BZT131131 CJP131131 CTL131131 DDH131131 DND131131 DWZ131131 EGV131131 EQR131131 FAN131131 FKJ131131 FUF131131 GEB131131 GNX131131 GXT131131 HHP131131 HRL131131 IBH131131 ILD131131 IUZ131131 JEV131131 JOR131131 JYN131131 KIJ131131 KSF131131 LCB131131 LLX131131 LVT131131 MFP131131 MPL131131 MZH131131 NJD131131 NSZ131131 OCV131131 OMR131131 OWN131131 PGJ131131 PQF131131 QAB131131 QJX131131 QTT131131 RDP131131 RNL131131 RXH131131 SHD131131 SQZ131131 TAV131131 TKR131131 TUN131131 UEJ131131 UOF131131 UYB131131 VHX131131 VRT131131 WBP131131 WLL131131 WVH131131 B196667 IV196667 SR196667 ACN196667 AMJ196667 AWF196667 BGB196667 BPX196667 BZT196667 CJP196667 CTL196667 DDH196667 DND196667 DWZ196667 EGV196667 EQR196667 FAN196667 FKJ196667 FUF196667 GEB196667 GNX196667 GXT196667 HHP196667 HRL196667 IBH196667 ILD196667 IUZ196667 JEV196667 JOR196667 JYN196667 KIJ196667 KSF196667 LCB196667 LLX196667 LVT196667 MFP196667 MPL196667 MZH196667 NJD196667 NSZ196667 OCV196667 OMR196667 OWN196667 PGJ196667 PQF196667 QAB196667 QJX196667 QTT196667 RDP196667 RNL196667 RXH196667 SHD196667 SQZ196667 TAV196667 TKR196667 TUN196667 UEJ196667 UOF196667 UYB196667 VHX196667 VRT196667 WBP196667 WLL196667 WVH196667 B262203 IV262203 SR262203 ACN262203 AMJ262203 AWF262203 BGB262203 BPX262203 BZT262203 CJP262203 CTL262203 DDH262203 DND262203 DWZ262203 EGV262203 EQR262203 FAN262203 FKJ262203 FUF262203 GEB262203 GNX262203 GXT262203 HHP262203 HRL262203 IBH262203 ILD262203 IUZ262203 JEV262203 JOR262203 JYN262203 KIJ262203 KSF262203 LCB262203 LLX262203 LVT262203 MFP262203 MPL262203 MZH262203 NJD262203 NSZ262203 OCV262203 OMR262203 OWN262203 PGJ262203 PQF262203 QAB262203 QJX262203 QTT262203 RDP262203 RNL262203 RXH262203 SHD262203 SQZ262203 TAV262203 TKR262203 TUN262203 UEJ262203 UOF262203 UYB262203 VHX262203 VRT262203 WBP262203 WLL262203 WVH262203 B327739 IV327739 SR327739 ACN327739 AMJ327739 AWF327739 BGB327739 BPX327739 BZT327739 CJP327739 CTL327739 DDH327739 DND327739 DWZ327739 EGV327739 EQR327739 FAN327739 FKJ327739 FUF327739 GEB327739 GNX327739 GXT327739 HHP327739 HRL327739 IBH327739 ILD327739 IUZ327739 JEV327739 JOR327739 JYN327739 KIJ327739 KSF327739 LCB327739 LLX327739 LVT327739 MFP327739 MPL327739 MZH327739 NJD327739 NSZ327739 OCV327739 OMR327739 OWN327739 PGJ327739 PQF327739 QAB327739 QJX327739 QTT327739 RDP327739 RNL327739 RXH327739 SHD327739 SQZ327739 TAV327739 TKR327739 TUN327739 UEJ327739 UOF327739 UYB327739 VHX327739 VRT327739 WBP327739 WLL327739 WVH327739 B393275 IV393275 SR393275 ACN393275 AMJ393275 AWF393275 BGB393275 BPX393275 BZT393275 CJP393275 CTL393275 DDH393275 DND393275 DWZ393275 EGV393275 EQR393275 FAN393275 FKJ393275 FUF393275 GEB393275 GNX393275 GXT393275 HHP393275 HRL393275 IBH393275 ILD393275 IUZ393275 JEV393275 JOR393275 JYN393275 KIJ393275 KSF393275 LCB393275 LLX393275 LVT393275 MFP393275 MPL393275 MZH393275 NJD393275 NSZ393275 OCV393275 OMR393275 OWN393275 PGJ393275 PQF393275 QAB393275 QJX393275 QTT393275 RDP393275 RNL393275 RXH393275 SHD393275 SQZ393275 TAV393275 TKR393275 TUN393275 UEJ393275 UOF393275 UYB393275 VHX393275 VRT393275 WBP393275 WLL393275 WVH393275 B458811 IV458811 SR458811 ACN458811 AMJ458811 AWF458811 BGB458811 BPX458811 BZT458811 CJP458811 CTL458811 DDH458811 DND458811 DWZ458811 EGV458811 EQR458811 FAN458811 FKJ458811 FUF458811 GEB458811 GNX458811 GXT458811 HHP458811 HRL458811 IBH458811 ILD458811 IUZ458811 JEV458811 JOR458811 JYN458811 KIJ458811 KSF458811 LCB458811 LLX458811 LVT458811 MFP458811 MPL458811 MZH458811 NJD458811 NSZ458811 OCV458811 OMR458811 OWN458811 PGJ458811 PQF458811 QAB458811 QJX458811 QTT458811 RDP458811 RNL458811 RXH458811 SHD458811 SQZ458811 TAV458811 TKR458811 TUN458811 UEJ458811 UOF458811 UYB458811 VHX458811 VRT458811 WBP458811 WLL458811 WVH458811 B524347 IV524347 SR524347 ACN524347 AMJ524347 AWF524347 BGB524347 BPX524347 BZT524347 CJP524347 CTL524347 DDH524347 DND524347 DWZ524347 EGV524347 EQR524347 FAN524347 FKJ524347 FUF524347 GEB524347 GNX524347 GXT524347 HHP524347 HRL524347 IBH524347 ILD524347 IUZ524347 JEV524347 JOR524347 JYN524347 KIJ524347 KSF524347 LCB524347 LLX524347 LVT524347 MFP524347 MPL524347 MZH524347 NJD524347 NSZ524347 OCV524347 OMR524347 OWN524347 PGJ524347 PQF524347 QAB524347 QJX524347 QTT524347 RDP524347 RNL524347 RXH524347 SHD524347 SQZ524347 TAV524347 TKR524347 TUN524347 UEJ524347 UOF524347 UYB524347 VHX524347 VRT524347 WBP524347 WLL524347 WVH524347 B589883 IV589883 SR589883 ACN589883 AMJ589883 AWF589883 BGB589883 BPX589883 BZT589883 CJP589883 CTL589883 DDH589883 DND589883 DWZ589883 EGV589883 EQR589883 FAN589883 FKJ589883 FUF589883 GEB589883 GNX589883 GXT589883 HHP589883 HRL589883 IBH589883 ILD589883 IUZ589883 JEV589883 JOR589883 JYN589883 KIJ589883 KSF589883 LCB589883 LLX589883 LVT589883 MFP589883 MPL589883 MZH589883 NJD589883 NSZ589883 OCV589883 OMR589883 OWN589883 PGJ589883 PQF589883 QAB589883 QJX589883 QTT589883 RDP589883 RNL589883 RXH589883 SHD589883 SQZ589883 TAV589883 TKR589883 TUN589883 UEJ589883 UOF589883 UYB589883 VHX589883 VRT589883 WBP589883 WLL589883 WVH589883 B655419 IV655419 SR655419 ACN655419 AMJ655419 AWF655419 BGB655419 BPX655419 BZT655419 CJP655419 CTL655419 DDH655419 DND655419 DWZ655419 EGV655419 EQR655419 FAN655419 FKJ655419 FUF655419 GEB655419 GNX655419 GXT655419 HHP655419 HRL655419 IBH655419 ILD655419 IUZ655419 JEV655419 JOR655419 JYN655419 KIJ655419 KSF655419 LCB655419 LLX655419 LVT655419 MFP655419 MPL655419 MZH655419 NJD655419 NSZ655419 OCV655419 OMR655419 OWN655419 PGJ655419 PQF655419 QAB655419 QJX655419 QTT655419 RDP655419 RNL655419 RXH655419 SHD655419 SQZ655419 TAV655419 TKR655419 TUN655419 UEJ655419 UOF655419 UYB655419 VHX655419 VRT655419 WBP655419 WLL655419 WVH655419 B720955 IV720955 SR720955 ACN720955 AMJ720955 AWF720955 BGB720955 BPX720955 BZT720955 CJP720955 CTL720955 DDH720955 DND720955 DWZ720955 EGV720955 EQR720955 FAN720955 FKJ720955 FUF720955 GEB720955 GNX720955 GXT720955 HHP720955 HRL720955 IBH720955 ILD720955 IUZ720955 JEV720955 JOR720955 JYN720955 KIJ720955 KSF720955 LCB720955 LLX720955 LVT720955 MFP720955 MPL720955 MZH720955 NJD720955 NSZ720955 OCV720955 OMR720955 OWN720955 PGJ720955 PQF720955 QAB720955 QJX720955 QTT720955 RDP720955 RNL720955 RXH720955 SHD720955 SQZ720955 TAV720955 TKR720955 TUN720955 UEJ720955 UOF720955 UYB720955 VHX720955 VRT720955 WBP720955 WLL720955 WVH720955 B786491 IV786491 SR786491 ACN786491 AMJ786491 AWF786491 BGB786491 BPX786491 BZT786491 CJP786491 CTL786491 DDH786491 DND786491 DWZ786491 EGV786491 EQR786491 FAN786491 FKJ786491 FUF786491 GEB786491 GNX786491 GXT786491 HHP786491 HRL786491 IBH786491 ILD786491 IUZ786491 JEV786491 JOR786491 JYN786491 KIJ786491 KSF786491 LCB786491 LLX786491 LVT786491 MFP786491 MPL786491 MZH786491 NJD786491 NSZ786491 OCV786491 OMR786491 OWN786491 PGJ786491 PQF786491 QAB786491 QJX786491 QTT786491 RDP786491 RNL786491 RXH786491 SHD786491 SQZ786491 TAV786491 TKR786491 TUN786491 UEJ786491 UOF786491 UYB786491 VHX786491 VRT786491 WBP786491 WLL786491 WVH786491 B852027 IV852027 SR852027 ACN852027 AMJ852027 AWF852027 BGB852027 BPX852027 BZT852027 CJP852027 CTL852027 DDH852027 DND852027 DWZ852027 EGV852027 EQR852027 FAN852027 FKJ852027 FUF852027 GEB852027 GNX852027 GXT852027 HHP852027 HRL852027 IBH852027 ILD852027 IUZ852027 JEV852027 JOR852027 JYN852027 KIJ852027 KSF852027 LCB852027 LLX852027 LVT852027 MFP852027 MPL852027 MZH852027 NJD852027 NSZ852027 OCV852027 OMR852027 OWN852027 PGJ852027 PQF852027 QAB852027 QJX852027 QTT852027 RDP852027 RNL852027 RXH852027 SHD852027 SQZ852027 TAV852027 TKR852027 TUN852027 UEJ852027 UOF852027 UYB852027 VHX852027 VRT852027 WBP852027 WLL852027 WVH852027 B917563 IV917563 SR917563 ACN917563 AMJ917563 AWF917563 BGB917563 BPX917563 BZT917563 CJP917563 CTL917563 DDH917563 DND917563 DWZ917563 EGV917563 EQR917563 FAN917563 FKJ917563 FUF917563 GEB917563 GNX917563 GXT917563 HHP917563 HRL917563 IBH917563 ILD917563 IUZ917563 JEV917563 JOR917563 JYN917563 KIJ917563 KSF917563 LCB917563 LLX917563 LVT917563 MFP917563 MPL917563 MZH917563 NJD917563 NSZ917563 OCV917563 OMR917563 OWN917563 PGJ917563 PQF917563 QAB917563 QJX917563 QTT917563 RDP917563 RNL917563 RXH917563 SHD917563 SQZ917563 TAV917563 TKR917563 TUN917563 UEJ917563 UOF917563 UYB917563 VHX917563 VRT917563 WBP917563 WLL917563 WVH917563 B983099 IV983099 SR983099 ACN983099 AMJ983099 AWF983099 BGB983099 BPX983099 BZT983099 CJP983099 CTL983099 DDH983099 DND983099 DWZ983099 EGV983099 EQR983099 FAN983099 FKJ983099 FUF983099 GEB983099 GNX983099 GXT983099 HHP983099 HRL983099 IBH983099 ILD983099 IUZ983099 JEV983099 JOR983099 JYN983099 KIJ983099 KSF983099 LCB983099 LLX983099 LVT983099 MFP983099 MPL983099 MZH983099 NJD983099 NSZ983099 OCV983099 OMR983099 OWN983099 PGJ983099 PQF983099 QAB983099 QJX983099 QTT983099 RDP983099 RNL983099 RXH983099 SHD983099 SQZ983099 TAV983099 TKR983099 TUN983099 UEJ983099 UOF983099 UYB983099 VHX983099 VRT983099 WBP983099 WLL983099 WVH983099" xr:uid="{DCF6A1C1-9E3F-4116-86DB-C2D2267E26F5}">
      <formula1>$N$23:$N$24</formula1>
    </dataValidation>
    <dataValidation type="list" allowBlank="1" showInputMessage="1" showErrorMessage="1" sqref="B56 IV56 SR56 ACN56 AMJ56 AWF56 BGB56 BPX56 BZT56 CJP56 CTL56 DDH56 DND56 DWZ56 EGV56 EQR56 FAN56 FKJ56 FUF56 GEB56 GNX56 GXT56 HHP56 HRL56 IBH56 ILD56 IUZ56 JEV56 JOR56 JYN56 KIJ56 KSF56 LCB56 LLX56 LVT56 MFP56 MPL56 MZH56 NJD56 NSZ56 OCV56 OMR56 OWN56 PGJ56 PQF56 QAB56 QJX56 QTT56 RDP56 RNL56 RXH56 SHD56 SQZ56 TAV56 TKR56 TUN56 UEJ56 UOF56 UYB56 VHX56 VRT56 WBP56 WLL56 WVH56 B65592 IV65592 SR65592 ACN65592 AMJ65592 AWF65592 BGB65592 BPX65592 BZT65592 CJP65592 CTL65592 DDH65592 DND65592 DWZ65592 EGV65592 EQR65592 FAN65592 FKJ65592 FUF65592 GEB65592 GNX65592 GXT65592 HHP65592 HRL65592 IBH65592 ILD65592 IUZ65592 JEV65592 JOR65592 JYN65592 KIJ65592 KSF65592 LCB65592 LLX65592 LVT65592 MFP65592 MPL65592 MZH65592 NJD65592 NSZ65592 OCV65592 OMR65592 OWN65592 PGJ65592 PQF65592 QAB65592 QJX65592 QTT65592 RDP65592 RNL65592 RXH65592 SHD65592 SQZ65592 TAV65592 TKR65592 TUN65592 UEJ65592 UOF65592 UYB65592 VHX65592 VRT65592 WBP65592 WLL65592 WVH65592 B131128 IV131128 SR131128 ACN131128 AMJ131128 AWF131128 BGB131128 BPX131128 BZT131128 CJP131128 CTL131128 DDH131128 DND131128 DWZ131128 EGV131128 EQR131128 FAN131128 FKJ131128 FUF131128 GEB131128 GNX131128 GXT131128 HHP131128 HRL131128 IBH131128 ILD131128 IUZ131128 JEV131128 JOR131128 JYN131128 KIJ131128 KSF131128 LCB131128 LLX131128 LVT131128 MFP131128 MPL131128 MZH131128 NJD131128 NSZ131128 OCV131128 OMR131128 OWN131128 PGJ131128 PQF131128 QAB131128 QJX131128 QTT131128 RDP131128 RNL131128 RXH131128 SHD131128 SQZ131128 TAV131128 TKR131128 TUN131128 UEJ131128 UOF131128 UYB131128 VHX131128 VRT131128 WBP131128 WLL131128 WVH131128 B196664 IV196664 SR196664 ACN196664 AMJ196664 AWF196664 BGB196664 BPX196664 BZT196664 CJP196664 CTL196664 DDH196664 DND196664 DWZ196664 EGV196664 EQR196664 FAN196664 FKJ196664 FUF196664 GEB196664 GNX196664 GXT196664 HHP196664 HRL196664 IBH196664 ILD196664 IUZ196664 JEV196664 JOR196664 JYN196664 KIJ196664 KSF196664 LCB196664 LLX196664 LVT196664 MFP196664 MPL196664 MZH196664 NJD196664 NSZ196664 OCV196664 OMR196664 OWN196664 PGJ196664 PQF196664 QAB196664 QJX196664 QTT196664 RDP196664 RNL196664 RXH196664 SHD196664 SQZ196664 TAV196664 TKR196664 TUN196664 UEJ196664 UOF196664 UYB196664 VHX196664 VRT196664 WBP196664 WLL196664 WVH196664 B262200 IV262200 SR262200 ACN262200 AMJ262200 AWF262200 BGB262200 BPX262200 BZT262200 CJP262200 CTL262200 DDH262200 DND262200 DWZ262200 EGV262200 EQR262200 FAN262200 FKJ262200 FUF262200 GEB262200 GNX262200 GXT262200 HHP262200 HRL262200 IBH262200 ILD262200 IUZ262200 JEV262200 JOR262200 JYN262200 KIJ262200 KSF262200 LCB262200 LLX262200 LVT262200 MFP262200 MPL262200 MZH262200 NJD262200 NSZ262200 OCV262200 OMR262200 OWN262200 PGJ262200 PQF262200 QAB262200 QJX262200 QTT262200 RDP262200 RNL262200 RXH262200 SHD262200 SQZ262200 TAV262200 TKR262200 TUN262200 UEJ262200 UOF262200 UYB262200 VHX262200 VRT262200 WBP262200 WLL262200 WVH262200 B327736 IV327736 SR327736 ACN327736 AMJ327736 AWF327736 BGB327736 BPX327736 BZT327736 CJP327736 CTL327736 DDH327736 DND327736 DWZ327736 EGV327736 EQR327736 FAN327736 FKJ327736 FUF327736 GEB327736 GNX327736 GXT327736 HHP327736 HRL327736 IBH327736 ILD327736 IUZ327736 JEV327736 JOR327736 JYN327736 KIJ327736 KSF327736 LCB327736 LLX327736 LVT327736 MFP327736 MPL327736 MZH327736 NJD327736 NSZ327736 OCV327736 OMR327736 OWN327736 PGJ327736 PQF327736 QAB327736 QJX327736 QTT327736 RDP327736 RNL327736 RXH327736 SHD327736 SQZ327736 TAV327736 TKR327736 TUN327736 UEJ327736 UOF327736 UYB327736 VHX327736 VRT327736 WBP327736 WLL327736 WVH327736 B393272 IV393272 SR393272 ACN393272 AMJ393272 AWF393272 BGB393272 BPX393272 BZT393272 CJP393272 CTL393272 DDH393272 DND393272 DWZ393272 EGV393272 EQR393272 FAN393272 FKJ393272 FUF393272 GEB393272 GNX393272 GXT393272 HHP393272 HRL393272 IBH393272 ILD393272 IUZ393272 JEV393272 JOR393272 JYN393272 KIJ393272 KSF393272 LCB393272 LLX393272 LVT393272 MFP393272 MPL393272 MZH393272 NJD393272 NSZ393272 OCV393272 OMR393272 OWN393272 PGJ393272 PQF393272 QAB393272 QJX393272 QTT393272 RDP393272 RNL393272 RXH393272 SHD393272 SQZ393272 TAV393272 TKR393272 TUN393272 UEJ393272 UOF393272 UYB393272 VHX393272 VRT393272 WBP393272 WLL393272 WVH393272 B458808 IV458808 SR458808 ACN458808 AMJ458808 AWF458808 BGB458808 BPX458808 BZT458808 CJP458808 CTL458808 DDH458808 DND458808 DWZ458808 EGV458808 EQR458808 FAN458808 FKJ458808 FUF458808 GEB458808 GNX458808 GXT458808 HHP458808 HRL458808 IBH458808 ILD458808 IUZ458808 JEV458808 JOR458808 JYN458808 KIJ458808 KSF458808 LCB458808 LLX458808 LVT458808 MFP458808 MPL458808 MZH458808 NJD458808 NSZ458808 OCV458808 OMR458808 OWN458808 PGJ458808 PQF458808 QAB458808 QJX458808 QTT458808 RDP458808 RNL458808 RXH458808 SHD458808 SQZ458808 TAV458808 TKR458808 TUN458808 UEJ458808 UOF458808 UYB458808 VHX458808 VRT458808 WBP458808 WLL458808 WVH458808 B524344 IV524344 SR524344 ACN524344 AMJ524344 AWF524344 BGB524344 BPX524344 BZT524344 CJP524344 CTL524344 DDH524344 DND524344 DWZ524344 EGV524344 EQR524344 FAN524344 FKJ524344 FUF524344 GEB524344 GNX524344 GXT524344 HHP524344 HRL524344 IBH524344 ILD524344 IUZ524344 JEV524344 JOR524344 JYN524344 KIJ524344 KSF524344 LCB524344 LLX524344 LVT524344 MFP524344 MPL524344 MZH524344 NJD524344 NSZ524344 OCV524344 OMR524344 OWN524344 PGJ524344 PQF524344 QAB524344 QJX524344 QTT524344 RDP524344 RNL524344 RXH524344 SHD524344 SQZ524344 TAV524344 TKR524344 TUN524344 UEJ524344 UOF524344 UYB524344 VHX524344 VRT524344 WBP524344 WLL524344 WVH524344 B589880 IV589880 SR589880 ACN589880 AMJ589880 AWF589880 BGB589880 BPX589880 BZT589880 CJP589880 CTL589880 DDH589880 DND589880 DWZ589880 EGV589880 EQR589880 FAN589880 FKJ589880 FUF589880 GEB589880 GNX589880 GXT589880 HHP589880 HRL589880 IBH589880 ILD589880 IUZ589880 JEV589880 JOR589880 JYN589880 KIJ589880 KSF589880 LCB589880 LLX589880 LVT589880 MFP589880 MPL589880 MZH589880 NJD589880 NSZ589880 OCV589880 OMR589880 OWN589880 PGJ589880 PQF589880 QAB589880 QJX589880 QTT589880 RDP589880 RNL589880 RXH589880 SHD589880 SQZ589880 TAV589880 TKR589880 TUN589880 UEJ589880 UOF589880 UYB589880 VHX589880 VRT589880 WBP589880 WLL589880 WVH589880 B655416 IV655416 SR655416 ACN655416 AMJ655416 AWF655416 BGB655416 BPX655416 BZT655416 CJP655416 CTL655416 DDH655416 DND655416 DWZ655416 EGV655416 EQR655416 FAN655416 FKJ655416 FUF655416 GEB655416 GNX655416 GXT655416 HHP655416 HRL655416 IBH655416 ILD655416 IUZ655416 JEV655416 JOR655416 JYN655416 KIJ655416 KSF655416 LCB655416 LLX655416 LVT655416 MFP655416 MPL655416 MZH655416 NJD655416 NSZ655416 OCV655416 OMR655416 OWN655416 PGJ655416 PQF655416 QAB655416 QJX655416 QTT655416 RDP655416 RNL655416 RXH655416 SHD655416 SQZ655416 TAV655416 TKR655416 TUN655416 UEJ655416 UOF655416 UYB655416 VHX655416 VRT655416 WBP655416 WLL655416 WVH655416 B720952 IV720952 SR720952 ACN720952 AMJ720952 AWF720952 BGB720952 BPX720952 BZT720952 CJP720952 CTL720952 DDH720952 DND720952 DWZ720952 EGV720952 EQR720952 FAN720952 FKJ720952 FUF720952 GEB720952 GNX720952 GXT720952 HHP720952 HRL720952 IBH720952 ILD720952 IUZ720952 JEV720952 JOR720952 JYN720952 KIJ720952 KSF720952 LCB720952 LLX720952 LVT720952 MFP720952 MPL720952 MZH720952 NJD720952 NSZ720952 OCV720952 OMR720952 OWN720952 PGJ720952 PQF720952 QAB720952 QJX720952 QTT720952 RDP720952 RNL720952 RXH720952 SHD720952 SQZ720952 TAV720952 TKR720952 TUN720952 UEJ720952 UOF720952 UYB720952 VHX720952 VRT720952 WBP720952 WLL720952 WVH720952 B786488 IV786488 SR786488 ACN786488 AMJ786488 AWF786488 BGB786488 BPX786488 BZT786488 CJP786488 CTL786488 DDH786488 DND786488 DWZ786488 EGV786488 EQR786488 FAN786488 FKJ786488 FUF786488 GEB786488 GNX786488 GXT786488 HHP786488 HRL786488 IBH786488 ILD786488 IUZ786488 JEV786488 JOR786488 JYN786488 KIJ786488 KSF786488 LCB786488 LLX786488 LVT786488 MFP786488 MPL786488 MZH786488 NJD786488 NSZ786488 OCV786488 OMR786488 OWN786488 PGJ786488 PQF786488 QAB786488 QJX786488 QTT786488 RDP786488 RNL786488 RXH786488 SHD786488 SQZ786488 TAV786488 TKR786488 TUN786488 UEJ786488 UOF786488 UYB786488 VHX786488 VRT786488 WBP786488 WLL786488 WVH786488 B852024 IV852024 SR852024 ACN852024 AMJ852024 AWF852024 BGB852024 BPX852024 BZT852024 CJP852024 CTL852024 DDH852024 DND852024 DWZ852024 EGV852024 EQR852024 FAN852024 FKJ852024 FUF852024 GEB852024 GNX852024 GXT852024 HHP852024 HRL852024 IBH852024 ILD852024 IUZ852024 JEV852024 JOR852024 JYN852024 KIJ852024 KSF852024 LCB852024 LLX852024 LVT852024 MFP852024 MPL852024 MZH852024 NJD852024 NSZ852024 OCV852024 OMR852024 OWN852024 PGJ852024 PQF852024 QAB852024 QJX852024 QTT852024 RDP852024 RNL852024 RXH852024 SHD852024 SQZ852024 TAV852024 TKR852024 TUN852024 UEJ852024 UOF852024 UYB852024 VHX852024 VRT852024 WBP852024 WLL852024 WVH852024 B917560 IV917560 SR917560 ACN917560 AMJ917560 AWF917560 BGB917560 BPX917560 BZT917560 CJP917560 CTL917560 DDH917560 DND917560 DWZ917560 EGV917560 EQR917560 FAN917560 FKJ917560 FUF917560 GEB917560 GNX917560 GXT917560 HHP917560 HRL917560 IBH917560 ILD917560 IUZ917560 JEV917560 JOR917560 JYN917560 KIJ917560 KSF917560 LCB917560 LLX917560 LVT917560 MFP917560 MPL917560 MZH917560 NJD917560 NSZ917560 OCV917560 OMR917560 OWN917560 PGJ917560 PQF917560 QAB917560 QJX917560 QTT917560 RDP917560 RNL917560 RXH917560 SHD917560 SQZ917560 TAV917560 TKR917560 TUN917560 UEJ917560 UOF917560 UYB917560 VHX917560 VRT917560 WBP917560 WLL917560 WVH917560 B983096 IV983096 SR983096 ACN983096 AMJ983096 AWF983096 BGB983096 BPX983096 BZT983096 CJP983096 CTL983096 DDH983096 DND983096 DWZ983096 EGV983096 EQR983096 FAN983096 FKJ983096 FUF983096 GEB983096 GNX983096 GXT983096 HHP983096 HRL983096 IBH983096 ILD983096 IUZ983096 JEV983096 JOR983096 JYN983096 KIJ983096 KSF983096 LCB983096 LLX983096 LVT983096 MFP983096 MPL983096 MZH983096 NJD983096 NSZ983096 OCV983096 OMR983096 OWN983096 PGJ983096 PQF983096 QAB983096 QJX983096 QTT983096 RDP983096 RNL983096 RXH983096 SHD983096 SQZ983096 TAV983096 TKR983096 TUN983096 UEJ983096 UOF983096 UYB983096 VHX983096 VRT983096 WBP983096 WLL983096 WVH983096" xr:uid="{49FEA933-5315-4EF0-B3B4-283376A00606}">
      <formula1>$G$61:$G$62</formula1>
    </dataValidation>
  </dataValidation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Configuration</vt:lpstr>
      <vt:lpstr>Product Algorithm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Putta</dc:creator>
  <cp:lastModifiedBy>Sailesh Palem</cp:lastModifiedBy>
  <dcterms:created xsi:type="dcterms:W3CDTF">2026-04-19T12:53:52Z</dcterms:created>
  <dcterms:modified xsi:type="dcterms:W3CDTF">2026-07-22T03:25:41Z</dcterms:modified>
</cp:coreProperties>
</file>